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4"/>
    <sheet state="visible" name="Chấm điểm" sheetId="2" r:id="rId5"/>
  </sheets>
  <definedNames>
    <definedName hidden="1" localSheetId="1" name="_xlnm._FilterDatabase">'Chấm điểm'!$A$1:$O$141</definedName>
  </definedNames>
  <calcPr/>
  <extLst>
    <ext uri="GoogleSheetsCustomDataVersion2">
      <go:sheetsCustomData xmlns:go="http://customooxmlschemas.google.com/" r:id="rId6" roundtripDataChecksum="WikRehI4jk6zTspHGb9YHPKsV/QhOaqEv/+x5I+Be8k="/>
    </ext>
  </extLst>
</workbook>
</file>

<file path=xl/sharedStrings.xml><?xml version="1.0" encoding="utf-8"?>
<sst xmlns="http://schemas.openxmlformats.org/spreadsheetml/2006/main" count="1658" uniqueCount="1266">
  <si>
    <t>PHIẾU THU THẬP MINH CHỨNG &amp; CHẤM ĐIỂM CĐS (DBI)</t>
  </si>
  <si>
    <t>Trụ cột</t>
  </si>
  <si>
    <t>Ngân hàng</t>
  </si>
  <si>
    <t>Nhóm tiêu chí</t>
  </si>
  <si>
    <t>Mã</t>
  </si>
  <si>
    <t>Tiêu chí</t>
  </si>
  <si>
    <t>Level</t>
  </si>
  <si>
    <t>TPBank</t>
  </si>
  <si>
    <t>Minh chứng</t>
  </si>
  <si>
    <t>Nguồn</t>
  </si>
  <si>
    <t>Trang</t>
  </si>
  <si>
    <t>Năm</t>
  </si>
  <si>
    <t>Ghi chú</t>
  </si>
  <si>
    <t>Mức 1</t>
  </si>
  <si>
    <t>← Tên ngân hàng: KHÔNG sửa (code đọc ô B3 để nhận diện)</t>
  </si>
  <si>
    <t>Mức 2</t>
  </si>
  <si>
    <t>Mức 3</t>
  </si>
  <si>
    <t>Mức 4</t>
  </si>
  <si>
    <t>Người phụ trách</t>
  </si>
  <si>
    <t>Mức 5</t>
  </si>
  <si>
    <t>Thư</t>
  </si>
  <si>
    <t>Năm dữ liệu (FY)</t>
  </si>
  <si>
    <t>1. Trụ cột Khách hàng</t>
  </si>
  <si>
    <t>Deadline nộp</t>
  </si>
  <si>
    <t>09/10</t>
  </si>
  <si>
    <t>CÁCH ĐIỀN (sheet "Chấm điểm")</t>
  </si>
  <si>
    <t>Góc nhìn của khách hàng đối với sản phẩm, dịch vụ</t>
  </si>
  <si>
    <t>1.1.1</t>
  </si>
  <si>
    <t>1. Chỉ điền vào các cột nền VÀNG (Level, Minh chứng, Nguồn, Trang, Năm, Ghi chú). Cột xám là cố định, không sửa.</t>
  </si>
  <si>
    <t>Cá nhân hóa trải nghiệm</t>
  </si>
  <si>
    <t>2. Đọc mô tả Mức 1–5 ở các cột bên phải của từng tiêu chí, rồi đọc minh chứng đã ghi để chọn Level.</t>
  </si>
  <si>
    <t>3. Level: chọn từ danh sách 1, 2, 3, 4, 5 hoặc N/A (không có minh chứng công khai). Không để trống.</t>
  </si>
  <si>
    <t>4. Trả lời 3 câu hỏi: (a) có tồn tại không; (b) phạm vi: một phần / một cụm / toàn ngân hàng / cùng đối tác; (c) có số liệu hoặc cam kết đo lường không.</t>
  </si>
  <si>
    <t>5. Minh chứng: ghi ngắn gọn điều ngân hàng đã làm, ưu tiên có số liệu. Không chép nguyên đoạn dài.</t>
  </si>
  <si>
    <t>6. Nguồn: tên tài liệu hoặc URL. Nhiều nguồn thì cách nhau bằng dấu chấm phẩy ( ; ). Ưu tiên BCTN, BC PTBV, website ngân hàng hơn tin tức.</t>
  </si>
  <si>
    <t>7. Trang: số trang trong tài liệu (nếu là website thì ghi "web"). Năm: năm của tài liệu/bài đăng.</t>
  </si>
  <si>
    <t>8. Chỉ dùng dữ liệu công khai. Chấm theo minh chứng đã ghi, không chấm theo ấn tượng chung về ngân hàng.</t>
  </si>
  <si>
    <t>9. Không thêm/xóa/đổi thứ tự dòng, không đổi tên cột, không đổi mã tiêu chí (phải đủ 140 mã).</t>
  </si>
  <si>
    <t>TPBank triển khai Data-First, sử dụng dữ liệu để cá nhân hóa trải nghiệm; các tính năng được thiết kế theo hành vi và nhu cầu người dùng.</t>
  </si>
  <si>
    <t>VÍ DỤ ĐIỀN (chỉ minh họa, KHÔNG chép vào sheet Chấm điểm)</t>
  </si>
  <si>
    <t>https://tpb.vn/tin-tuc/tin-tpbank/cham-tuong-lai-nganh-tai-chinh-cung-ngan-hang-tri-tue-tpbank</t>
  </si>
  <si>
    <t>Ứng dụng gợi ý sản phẩm/ưu đãi theo hành vi giao dịch cho nhóm khách hàng cá nhân; chưa nêu phạm vi toàn ngân hàng.</t>
  </si>
  <si>
    <t>BCTN 2025; website mục Ngân hàng số</t>
  </si>
  <si>
    <t>1.1.2</t>
  </si>
  <si>
    <t>N/A</t>
  </si>
  <si>
    <t>Không tìm thấy thông tin công khai.</t>
  </si>
  <si>
    <t>TIẾN ĐỘ &amp; KIỂM TRA TỰ ĐỘNG</t>
  </si>
  <si>
    <t>Tổng tiêu chí</t>
  </si>
  <si>
    <t>Đã có Level (1–5)</t>
  </si>
  <si>
    <t>Còn trống</t>
  </si>
  <si>
    <t>Có ít hoặc chưa có cá nhân hóa trong trải nghiệm khách hàng.</t>
  </si>
  <si>
    <t>Một số khía cạnh trong trải nghiệm khách hàng được cá nhân hóa dựa trên thông tin về khách hàng thu thập được ở một số bộ phận, đơn vị chức năng.</t>
  </si>
  <si>
    <t>Một số khía cạnh trong trải nghiệm khách hàng được cá nhân hóa dựa trên thông tin về khách hàng thu thập được và triển khai ở một số cụm các bộ phận, đơn vị chức năng.</t>
  </si>
  <si>
    <t>Tất cả các khía cạnh trong trải nghiệm khách hàng được cá nhân hóa dựa trên thông tin về khách hàng thu thập được và triển khai trong toàn doanh nghiệp.</t>
  </si>
  <si>
    <t>Tất cả các khía cạnh trong trải nghiệm khách hàng được cá nhân hóa dựa trên thông tin về khách hàng thu thập được, triển khai trong toàn doanh nghiệp và các đối tác trong hệ sinh thái của doanh nghiệp.</t>
  </si>
  <si>
    <t>Tiếp thị mục tiêu</t>
  </si>
  <si>
    <t>TPBank triển khai các chiến dịch hướng tới từng nhóm khách hàng, tiêu biểu chiến dịch dành cho Gen Z; đồng thời sử dụng dữ liệu và AI để hỗ trợ cá nhân hóa.</t>
  </si>
  <si>
    <t>https://tpb.vn/wps/wcm/connect/71611b1e-e466-4eb5-a468-1d9f33d0df09/BCTN+2026+TV+21.4+VIEW+%281%29.pdf?MOD=AJPERES&amp;CONVERT_TO=url&amp;CACHEID=ROOTWORKSPACE-71611b1e-e466-4eb5-a468-1d9f33d0df09-pSU5qGp</t>
  </si>
  <si>
    <t>2. Trụ cột Chiến lược</t>
  </si>
  <si>
    <t>Có một số nội dung tiếp thị được nhắm mục tiêu.</t>
  </si>
  <si>
    <t>Hầu hết nội dung tiếp thị được nhắm mục tiêu.</t>
  </si>
  <si>
    <t>Hầu hết nội dung tiếp thị được nhắm mục tiêu và có liên quan đến bối cảnh của khách hàng.</t>
  </si>
  <si>
    <t>Tất cả nội dung tiếp thị trong doanh nghiệp được nhắm mục tiêu và có liên quan đến bối cảnh của khách hàng.</t>
  </si>
  <si>
    <t>Tất cả nội dung tiếp thị từ cả doanh nghiệp và các đối tác trong hệ sinh thái của doanh nghiệp đều được nhắm mục tiêu và có liên quan đến bối cảnh của khách hàng.</t>
  </si>
  <si>
    <t>1.1.3</t>
  </si>
  <si>
    <t>Tự tùy chỉnh</t>
  </si>
  <si>
    <t>Paste to Pay tự động nhận diện số tài khoản, số tiền, nội dung chuyển khoản từ nội dung được khách hàng sao chép và điền sẵn trên App.</t>
  </si>
  <si>
    <t>https://tpb.vn/tin-tuc/tin-tpbank/paste-to-pay-cong-nghe-chuyen-tien-doc-dao-tu-tpbank</t>
  </si>
  <si>
    <t>3. Trụ cột Công nghệ</t>
  </si>
  <si>
    <t>Có rất ít công cụ sẵn có để cho phép khách hàng tùy chỉnh sản phẩm và dịch vụ.</t>
  </si>
  <si>
    <t>Một số công cụ có sẵn để cho phép khách hàng tùy chỉnh một số sản phẩm và dịch vụ.</t>
  </si>
  <si>
    <t>Một loạt các công cụ có sẵn để cho phép khách hàng tùy chỉnh tương đối đầy đủ cho một số sản phẩm và dịch vụ.</t>
  </si>
  <si>
    <t>Một loạt các công cụ được doanh nghiệp cung cấp cho phép khách hàng tùy chỉnh hoàn toàn cho các sản phẩm và dịch vụ của chính họ cùng một lúc.</t>
  </si>
  <si>
    <t>Một loạt các công cụ được doanh nghiệp và các đối tác trong hệ sinh thái của doanh nghiệp cung cấp cho phép khách hàng tùy chỉnh đầy đủ cho tất cả các sản phẩm và dịch vụ cùng một lúc.</t>
  </si>
  <si>
    <t>1.1.4</t>
  </si>
  <si>
    <t>Dễ sử dụng</t>
  </si>
  <si>
    <t>TPBank phát triển các thao tác chuyển tiền bằng ChatPay, VoicePay, Paste to Pay; Paste to Pay cho phép hoàn tất giao dịch với thao tác copy–paste và xác nhận.</t>
  </si>
  <si>
    <t>Có rất ít hoạt động tương tác với doanh nghiệp khiến khách hàng cảm thấy dễ dàng được đáp ứng nhu cầu cá nhân.</t>
  </si>
  <si>
    <t>Một số tương tác với doanh nghiệp khiến khách hàng cảm thấy dễ dàng được đáp ứng nhu cầu cá nhân.</t>
  </si>
  <si>
    <t>Hầu hết các tương tác với doanh nghiệp khiến khách hàng cảm thấy dễ dàng được đáp ứng nhu cầu cá nhân.</t>
  </si>
  <si>
    <t>Tất cả các tương tác với doanh nghiệp khiến khách hàng cảm thấy dễ dàng được đáp ứng nhu cầu cá nhân.</t>
  </si>
  <si>
    <t>Tất cả các tương tác với doanh nghiệp và các đối tác trong hệ sinh thái của doanh nghiệp khiến khách hàng cảm thấy dễ dàng được đáp ứng nhu cầu cá nhân.</t>
  </si>
  <si>
    <t>1.1.5</t>
  </si>
  <si>
    <t>Mức độ hứng thú của khách hàng</t>
  </si>
  <si>
    <t>TPBank công bố các sản phẩm số được phát triển để tạo trải nghiệm khác biệt, đặc biệt hướng tới nhóm khách hàng trẻ.</t>
  </si>
  <si>
    <t>https://tpb.vn/tin-tuc/tin-tpbank/khac-biet-lam-nen-suc-hut-cua-cac-dich-vu-ngan-hang-so-tpbank</t>
  </si>
  <si>
    <t>4. Trụ cột Vận hành</t>
  </si>
  <si>
    <t>Có rất ít hoạt động tương tác của khách hàng với doanh nghiệp khiến khách hàng cảm thấy thú vị.</t>
  </si>
  <si>
    <t>Một số hoạt động tương tác của khách hàng với doanh nghiệp khiến khách hàng cảm thấy thú vị.</t>
  </si>
  <si>
    <t>Hầu hết hoạt động tương tác của khách hàng với doanh nghiệp khiến khách hàng cảm thấy thú vị.</t>
  </si>
  <si>
    <t>Tất cả hoạt động tương tác của khách hàng với doanh nghiệp khiến khách hàng cảm thấy thú vị.</t>
  </si>
  <si>
    <t>Tất cả hoạt động tương tác của khách hàng với doanh nghiệp và các đối tác trong hệ sinh thái của doanh nghiệp khiến khách hàng cảm thấy thú vị.</t>
  </si>
  <si>
    <t>1.1.6</t>
  </si>
  <si>
    <t>Tương tác số</t>
  </si>
  <si>
    <t>ChatPay, VoicePay, T’Aio và App TPBank tạo nhiều hình thức tương tác số với khách hàng.</t>
  </si>
  <si>
    <t>5. Trụ cột Văn hóa</t>
  </si>
  <si>
    <t>Có rất ít tương tác có thể được thực hiện trên các kênh số.</t>
  </si>
  <si>
    <t>Một số tương tác của khách hàng với doanh nghiệp có thể được thực hiện trên các kênh số.</t>
  </si>
  <si>
    <t>Hầu hết các tương tác của khách hàng với doanh nghiệp có thể được thực hiện trên các kênh số.</t>
  </si>
  <si>
    <t>Tất cả các tương tác của khách hàng với doanh nghiệp có thể được thực hiện trên các kênh số.</t>
  </si>
  <si>
    <t>Tất cả các tương tác của khách hàng với doanh nghiệp và các đối tác trong hệ sinh thái của doanh nghiệp có thể được thực hiện trên các kênh số.</t>
  </si>
  <si>
    <t>1.1.7</t>
  </si>
  <si>
    <t>Chủ động chăm sóc</t>
  </si>
  <si>
    <t>T’Aio được TPBank mô tả là trợ lý AI có khả năng ghi nhớ, học hỏi và thích nghi theo hành vi khách hàng, hoạt động 24/7.</t>
  </si>
  <si>
    <t>Có rất ít nhu cầu hoặc vấn đề của khách hàng được doanh nghiệp dự đoán trước.</t>
  </si>
  <si>
    <t>Một số nhu cầu hoặc vấn đề của khách hàng được doanh nghiệp dự đoán trước.</t>
  </si>
  <si>
    <t>Hầu hết các nhu cầu hoặc vấn đề của khách hàng đều được doanh nghiệp dự đoán trước.</t>
  </si>
  <si>
    <t>Tất cả các nhu cầu hoặc vấn đề của khách hàng đều được doanh nghiệp dự đoán trước.</t>
  </si>
  <si>
    <t>Tất cả các nhu cầu hoặc vấn đề của khách hàng đều được doanh nghiệp hoặc các đối tác trong hệ sinh thái của doanh nghiệp dự đoán trước.</t>
  </si>
  <si>
    <t>1.1.8</t>
  </si>
  <si>
    <t>Gắn kết xã hội</t>
  </si>
  <si>
    <t>ChatPay được TPBank phát triển theo hướng đưa hoạt động ngân hàng vào môi trường giao tiếp quen thuộc; sản phẩm được trao giải Best Social Banking Initiative.</t>
  </si>
  <si>
    <t>6. Trụ cột Dữ liệu</t>
  </si>
  <si>
    <t>Sự gắn kết xã hội chưa được xem xét.</t>
  </si>
  <si>
    <t>Ít nhất một đơn vị bộ phận, đơn vị chức năng có hoạt động thúc đẩy sự gắn kết xã hội với và giữa các khách hàng để khuyến khích sự trung thành.</t>
  </si>
  <si>
    <t>Hầu hết các đơn vị bộ phận, đơn vị chức năng có hoạt động thúc đẩy sự gắn kết xã hội với và giữa các khách hàng để khuyến khích sự trung thành.</t>
  </si>
  <si>
    <t>Toàn bộ các đơn vị bộ phận, đơn vị chức năng có hoạt động thúc đẩy sự gắn kết xã hội với và giữa các khách hàng để khuyến khích sự trung thành.</t>
  </si>
  <si>
    <t>Toàn bộ các đơn vị bộ phận, đơn vị chức năng của doanh nghiệp và các đối tác trong hệ sinh thái có hoạt động thúc đẩy sự gắn kết xã hội với và giữa các khách hàng để khuyến khích sự trung thành.</t>
  </si>
  <si>
    <t>1.1.9</t>
  </si>
  <si>
    <t>Thúc đẩy mức độ trung thành</t>
  </si>
  <si>
    <t>TPBank phát triển hệ sinh thái số, các chương trình/đặc quyền và trải nghiệm riêng cho các phân khúc khách hàng.</t>
  </si>
  <si>
    <t>Các chương trình thúc đẩy sự trung thành chưa được doanh nghiệp tích cực xem xét.</t>
  </si>
  <si>
    <t>Doanh nghiệp khuyến khích toàn bộ các bộ phận, đơn vị chức năng có liên quan đến khách hàng triển khai các hành động để thúc đẩy sự trung thành của khách hàng với thương hiệu.</t>
  </si>
  <si>
    <t>Một số bộ phận, đơn vị chức năng có hành động thực tế thúc đẩy sự trung thành của khách hàng với thương hiệu.</t>
  </si>
  <si>
    <t>Toàn bộ các bộ phận, đơn vị chức năng liên quan đến khách hàng có hành động thực tế thúc đẩy sự trung thành của khách hàng với thương hiệu.</t>
  </si>
  <si>
    <t>Toàn bộ các bộ phận, đơn vị chức năng liên quan đến khách hàng và hệ sinh thái có hành động thực tế thúc đẩy sự trung thành của khách hàng với thương hiệu.</t>
  </si>
  <si>
    <t>Quản lý trải nghiệm khách hàng</t>
  </si>
  <si>
    <t>1.2.1</t>
  </si>
  <si>
    <t>Tầm nhìn về trải nghiệm khách hàng</t>
  </si>
  <si>
    <t>Trải nghiệm khách hàng được TPBank đặt trong định hướng số hóa, cá nhân hóa và cung cấp trải nghiệm liền mạch.</t>
  </si>
  <si>
    <t>Doanh nghiệp chưa có bất kỳ tầm nhìn về trải nghiệm khách hàng.</t>
  </si>
  <si>
    <t>TỔNG</t>
  </si>
  <si>
    <t>Một số bộ phận, đơn vị chức năng đã bắt đầu xác định tầm nhìn về trải nghiệm của khách hàng.</t>
  </si>
  <si>
    <t>Doanh nghiệp có một tầm nhìn về trải nghiệm khách hàng được xác định rõ ràng, được một số bộ phận, đơn vị chức năng áp dụng.</t>
  </si>
  <si>
    <t>Doanh nghiệp có tầm nhìn chung về trải nghiệm khách hàng được xác định rõ ràng và dễ hiểu.</t>
  </si>
  <si>
    <t>Doanh nghiệp và các đối tác trong hệ sinh thái của doanh nghiệp có tầm nhìn chung về trải nghiệm khách hàng được xác định rõ ràng và dễ hiểu.</t>
  </si>
  <si>
    <t>1.2.2</t>
  </si>
  <si>
    <t>Thiết kế theo định hướng của trải nghiệm khách hàng</t>
  </si>
  <si>
    <t>TPBank nêu rõ sản phẩm số được xây dựng từ sự thấu hiểu nhu cầu và thói quen người dùng; Paste to Pay là ví dụ trực tiếp.</t>
  </si>
  <si>
    <t>Trải nghiệm khách hàng chưa được xem xét một cách có chủ ý.</t>
  </si>
  <si>
    <t>Trải nghiệm khách hàng được xem xét bởi ít nhất một bộ phận, đơn vị chức năng của doanh nghiệp trong việc thiết kế và triển khai các sản phẩm và dịch vụ.</t>
  </si>
  <si>
    <t>Trải nghiệm khách hàng được xem xét bởi hầu hết các bộ phận, đơn vị chức năng của doanh nghiệp trong việc thiết kế và triển khai các sản phẩm và dịch vụ.</t>
  </si>
  <si>
    <t>Trải nghiệm khách hàng được doanh nghiệp xem xét đầy đủ trong thiết kế và triển khai các sản phẩm và dịch vụ.</t>
  </si>
  <si>
    <t>Trải nghiệm của khách hàng được doanh nghiệp và các đối tác trong hệ sinh thái của doanh nghiệp xem xét đầy đủ trong quá trình thiết kế và triển khai các sản phẩm và dịch vụ.</t>
  </si>
  <si>
    <t>1.2.3</t>
  </si>
  <si>
    <t>Có ngân sách đầu tư để đạt các mục tiêu trải nghiệm khách hàng</t>
  </si>
  <si>
    <t>TPBank có đầu tư vào AI, Big Data, Cloud, Core Banking và hạ tầng số; không công bố riêng một khoản ngân sách cho mục tiêu CX trong nguồn đã kiểm tra.</t>
  </si>
  <si>
    <t>Doanh nghiệp chưa có kế hoạch đầu tư để đạt được tầm nhìn trải nghiệm của khách hàng.</t>
  </si>
  <si>
    <t>Ít nhất một đơn vị bộ phận, đơn vị chức năng trong doanh nghiệp lên kế hoạch đầu tư để đạt được tầm nhìn trải nghiệm khách hàng của mình.</t>
  </si>
  <si>
    <t>Hầu hết các bộ phận, đơn vị chức năng trong doanh nghiệp đều lên kế hoạch đầu tư để đạt được tầm nhìn về trải nghiệm khách hàng của họ.</t>
  </si>
  <si>
    <t>Toàn bộ bộ phận, đơn vị chức năng có liên quan đến khách hàng có kế hoạch đầu tư để đạt được tầm nhìn về trải nghiệm của khách hàng.</t>
  </si>
  <si>
    <t>Toàn bộ bộ phận, đơn vị chức năng có liên quan đến khách hàng và hệ sinh thái có kế hoạch đầu tư để đạt được tầm nhìn về trải nghiệm của khách hàng.</t>
  </si>
  <si>
    <t>Level sai (khác 1–5 và N/A)</t>
  </si>
  <si>
    <t>1.2.4</t>
  </si>
  <si>
    <t>Phạm vi danh mục sản phẩm và dịch vụ</t>
  </si>
  <si>
    <t>TPBank phát triển hệ sinh thái số cho khách hàng cá nhân và doanh nghiệp, gồm App TPBank, LiveBank, TPBank Biz và nhiều dịch vụ số.</t>
  </si>
  <si>
    <t>https://tpb.vn/tin-tuc/tin-tpbank/tpbank-mo-rong-he-sinh-thai-thanh-toan-so-theo-khach-hang-ra-the-gioi-dua-the-gioi-den-gan-voi-doanh-nghiep-viet</t>
  </si>
  <si>
    <t>Trải nghiệm khách hàng chưa được xem xét trong phát triển danh mục sản phẩm và dịch vụ.</t>
  </si>
  <si>
    <t>Trải nghiệm khách hàng là một phần của danh mục sản phẩm và dịch vụ được cung cấp bởi ít nhất một bộ phận, đơn vị chức năng.</t>
  </si>
  <si>
    <t>Trải nghiệm khách hàng là một phần không thể thiếu trong danh mục sản phẩm và dịch vụ được cung cấp bởi hầu hết các bộ phận, đơn vị chức năng.</t>
  </si>
  <si>
    <t>Trải nghiệm khách hàng là một phần không thể thiếu trong danh mục sản phẩm và dịch vụ do doanh nghiệp cung cấp.</t>
  </si>
  <si>
    <t>Trải nghiệm của khách hàng là một phần không thể thiếu trong danh mục sản phẩm và dịch vụ do doanh nghiệp và các đối tác trong hệ sinh thái của doanh nghiệp cung cấp.</t>
  </si>
  <si>
    <t>Có Level 1–5 nhưng thiếu Minh chứng</t>
  </si>
  <si>
    <t>1.2.5</t>
  </si>
  <si>
    <t>Quá trình đăng ký sử dụng sản phẩm và dịch vụ</t>
  </si>
  <si>
    <t>TPBank công bố mở tài khoản và nhận thẻ trong 5 phút; LiveBank hỗ trợ mở tài khoản, phát hành thẻ và giao dịch 24/7.</t>
  </si>
  <si>
    <t>Trải nghiệm của khách hàng chưa được đưa vào quá trình tiếp cận và giới thiệu đăng ký sản phẩm và dịch vụ cho khách hàng mới.</t>
  </si>
  <si>
    <t>Có ít nhất một bộ phận, đơn vị chức năng đưa trải nghiệm khách hàng vào quá trình tiếp cận và giới thiệu đăng ký sản phẩm và dịch vụ dành cho khách hàng mới.</t>
  </si>
  <si>
    <t>Hầu hết các bộ phận, đơn vị chức năng đưa trải nghiệm khách hàng vào quá trình tiếp cận và giới thiệu đăng ký sản phẩm và dịch vụ dành cho khách hàng mới.</t>
  </si>
  <si>
    <t>Toàn bộ doanh nghiệp đưa trải nghiệm khách hàng vào quá trình tiếp cận và giới thiệu đăng ký sản phẩm và dịch vụ dành cho khách hàng mới.</t>
  </si>
  <si>
    <t>Toàn bộ doanh nghiệp và hệ sinh thái của doanh nghiệp đưa trải nghiệm khách hàng được đưa vào quá trình tiếp cận và giới thiệu đăng ký sản phẩm và dịch vụ dành cho khách hàng mới.</t>
  </si>
  <si>
    <t>1.2.6</t>
  </si>
  <si>
    <t>Đa kênh hợp nhất</t>
  </si>
  <si>
    <t>Hệ sinh thái gồm App TPBank, LiveBank, TPBank Biz và các kênh số; TPBank định hướng kết nối các điểm chạm khách hàng.</t>
  </si>
  <si>
    <t>Khách hàng chưa thể bắt đầu hành trình trên một kênh/thiết bị và tiếp tục ở một kênh/thiết bị khác.</t>
  </si>
  <si>
    <t>Doanh nghiệp quản lý được bối cảnh của một số cấu phần trong hành trình khách hàng liên thông trên hầu hết các kênh và thiết bị.</t>
  </si>
  <si>
    <t>Doanh nghiệp quản lý được bối cảnh của hầu hết các hành trình khách hàng liên thông trên hầu hết các kênh và thiết bị.</t>
  </si>
  <si>
    <t>Doanh nghiệp quản lý được bối cảnh của toàn bộ các hành trình khách hàng liên thông trên tất cả các kênh và thiết bị.</t>
  </si>
  <si>
    <t>Có Level 1–5 nhưng thiếu Nguồn</t>
  </si>
  <si>
    <t>Doanh nghiệp và hệ sinh thái quản lý được bối cảnh của toàn bộ các hành trình khách hàng liên thông trên tất cả các kênh và thiết bị.</t>
  </si>
  <si>
    <t>1.2.7</t>
  </si>
  <si>
    <t>Đo lường trải nghiệm khách hàng</t>
  </si>
  <si>
    <t>TPBank có các hoạt động đánh giá/trải nghiệm và được các tổ chức bên ngoài ghi nhận; chưa tìm thấy công bố đủ về hệ thống KPI CX toàn ngân hàng trong năm 2025.</t>
  </si>
  <si>
    <t>https://dantri.com.vn/kinh-doanh/tpbank-dat-chuan-quoc-te-icxs2019-ve-trai-nghiem-khach-hang-20260409100317065.htm</t>
  </si>
  <si>
    <t>Mục tiêu: "Còn trống" = 0 và cả 3 ô kiểm tra = 0 trước khi nộp.</t>
  </si>
  <si>
    <t>Hiệu suất hành trình khách hàng chưa được đo lường.</t>
  </si>
  <si>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</si>
  <si>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đo lường được hiệu quả của tất cả hành trình khách hàng và một số giai đoạn riêng lẻ trong hành trình của khách hàng.</t>
  </si>
  <si>
    <t>Doanh nghiệp đo lường được hiệu quả của tất cả hành trình khách hàng và các giai đoạn riêng lẻ trong hành trình của khách hàng.</t>
  </si>
  <si>
    <t>Doanh nghiệp và hệ sinh thái đo lường được hiệu quả của tất cả hành trình khách hàng và các giai đoạn riêng lẻ trong hành trình của khách hàng.</t>
  </si>
  <si>
    <t>1.2.8</t>
  </si>
  <si>
    <t>Quản lý hành trình khách hàng</t>
  </si>
  <si>
    <t>TPBank phát triển sản phẩm dựa trên hành vi và nhu cầu khách hàng; tuy nhiên chưa có công bố năm 2025 mô tả đầy đủ một hệ thống quản lý customer journey toàn ngân hàng.</t>
  </si>
  <si>
    <t>Hiệu suất của hành trình của khách hàng chưa được quản lý.</t>
  </si>
  <si>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</si>
  <si>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quản lý được hiệu quả của tất cả hành trình khách hàng và một số giai đoạn riêng lẻ trong hành trình của khách hàng.</t>
  </si>
  <si>
    <t>Doanh nghiệp quản lý được hiệu quả của tất cả hành trình khách hàng và các giai đoạn riêng lẻ trong hành trình của khách hàng.</t>
  </si>
  <si>
    <t>Doanh nghiệp và hệ sinh thái quản lý được hiệu quả của tất cả hành trình khách hàng và các giai đoạn riêng lẻ trong hành trình của khách hàng.</t>
  </si>
  <si>
    <t>Thấu hiểu khách hàng</t>
  </si>
  <si>
    <t>1.3.1</t>
  </si>
  <si>
    <t>Góc nhìn 360 độ về khách hàng</t>
  </si>
  <si>
    <t>TPBank theo Data-First, sử dụng dữ liệu trong phát triển sản phẩm, kinh doanh, vận hành và quản trị rủi ro.</t>
  </si>
  <si>
    <t>https://cafef.vn/tpbank-va-triet-ly-ai-top-khi-ngan-hang-khong-chi-so-hoa-188260113105521966.chn</t>
  </si>
  <si>
    <t>Doanh nghiệp chưa có góc nhìn 360 độ về khách hàng.</t>
  </si>
  <si>
    <t>Doanh nghiệp duy trì góc nhìn 360 độ của một số khách hàng.</t>
  </si>
  <si>
    <t>Doanh nghiệp duy trì góc nhìn 360 độ của hầu hết khách hàng.</t>
  </si>
  <si>
    <t>Doanh nghiệp luôn duy trì góc nhìn 360 độ về tất cả khách hàng.</t>
  </si>
  <si>
    <t>Doanh nghiệp và các đối tác trong hệ sinh thái của mình luôn duy trì góc nhìn 360 độ về tất cả khách hàng.</t>
  </si>
  <si>
    <t>1.3.2</t>
  </si>
  <si>
    <t>Nguồn khai thác dữ liệu tin cậy duy nhất</t>
  </si>
  <si>
    <t>TPBank xác định dữ liệu là tài sản vận hành và xây dựng nền tảng dữ liệu; chưa có công bố đủ để khẳng định một “single source of truth” cho toàn bộ dữ liệu khách hàng.</t>
  </si>
  <si>
    <t>https://tpb.vn/tin-tuc/tin-tpbank/tpbank-lay-du-lieu-lam-suc-manh-cot-loi</t>
  </si>
  <si>
    <t>Doanh nghiệp chưa có một nguồn tin cậy duy nhất cho bất kỳ thông tin nào của khách hàng.</t>
  </si>
  <si>
    <t>Có một nguồn tin cậy duy nhất cho một số yếu tố của thông tin khách hàng trong toàn doanh nghiệp.</t>
  </si>
  <si>
    <t>Có một nguồn tin cậy duy nhất cho hầu hết các yếu tố thông tin khách hàng trong toàn doanh nghiệp.</t>
  </si>
  <si>
    <t>Có một nguồn tin cậy duy nhất cho toàn bộ thông tin khách hàng trong toàn doanh nghiệp.</t>
  </si>
  <si>
    <t>Có một nguồn tin cậy duy nhất cho toàn bộ thông tin khách hàng trong toàn doanh nghiệp và các đối tác trong hệ sinh thái của doanh nghiệp.</t>
  </si>
  <si>
    <t>1.3.3</t>
  </si>
  <si>
    <t>Nhu cầu của khách hàng</t>
  </si>
  <si>
    <t>TPBank khẳng định sản phẩm được phát triển từ việc thấu hiểu nhu cầu, thói quen và hành vi khách hàng; Paste to Pay là minh chứng cụ thể.</t>
  </si>
  <si>
    <t>Kỳ vọng, sở thích và những điều khách hàng chưa hài lòng chưa được tích cực xem xét.</t>
  </si>
  <si>
    <t>Kỳ vọng, sở thích và những điều khách hàng chưa hài lòng tích cực xem xét ở một số bộ phận, đơn vị chức năng.</t>
  </si>
  <si>
    <t>Kỳ vọng, sở thích và những điều khách hàng chưa hài lòng được tích cực xem xét trên hầu hết các bộ phận, đơn vị chức năng.</t>
  </si>
  <si>
    <t>Tất cả các kỳ vọng, sở thích và những điều khách hàng chưa hài lòng đều được tích cực xem xét trong toàn doanh nghiệp.</t>
  </si>
  <si>
    <t>Tất cả các kỳ vọng, sở thích và những điều khách hàng chưa hài lòng đều được tích cực xem xét trong toàn doanh nghiệp và các đối tác trong hệ sinh thái của doanh nghiệp.</t>
  </si>
  <si>
    <t>Niềm tin của khách hàng</t>
  </si>
  <si>
    <t>1.4.1</t>
  </si>
  <si>
    <t>Cam kết thương hiệu</t>
  </si>
  <si>
    <t>TPBank duy trì định vị ngân hàng số, lấy công nghệ và trải nghiệm làm trọng tâm; hơn 98% giao dịch khách hàng qua kênh số được công bố trong năm 2025.</t>
  </si>
  <si>
    <t>https://tpb.vn/wps/portal/vni/news/tin-tuc/detail/%21ut/p/z0/fYzLCoMwFES_xuUlifSxdqMgVAqFotnINQk1tSRKbqz9-wa772ZmDhyGSdYy6XC1DyTrHb4Sd_LUnytxyAUXDc-PB140ZX2_VhdR3nJWM_lfSA_2uSyyYFJ5R2Yj1tI8oJt6jYQZDwhvMwRLZt9kHUWV8dTw8zK-usT7Bh29gtW6ETSmUGP8GAfaWwgetogEARWbJ9l9AYTgqi8%21/</t>
  </si>
  <si>
    <t>Cam kết về thương hiệu hiếm khi phù hợp với kỳ vọng của khách hàng.</t>
  </si>
  <si>
    <t>Một số bộ phận, đơn vị chức năng (có liên quan đến cam kết thương hiệu) trong doanh nghiệp đáp ứng các kỳ vọng của khách hàng phù hợp với cam kết thương hiệu của doanh nghiệp.</t>
  </si>
  <si>
    <t>Hầu hết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</si>
  <si>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</si>
  <si>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và hệ sinh thái doanh nghiệp đáp ứng các kỳ vọng của khách hàng phù hợp với cam kết thương hiệu của doanh nghiệp.</t>
  </si>
  <si>
    <t>1.4.2</t>
  </si>
  <si>
    <t>Xử lý phản ánh khách hàng</t>
  </si>
  <si>
    <t>Có cơ chế chăm sóc khách hàng qua các kênh; chưa đủ minh chứng 2025 về hệ thống quản lý phản ánh tập trung đạt mức toàn doanh nghiệp theo mô tả cấp 4–5.</t>
  </si>
  <si>
    <t>Khiếu nại nhận được hiếm khi được trả lời hoặc rút kinh nghiệm một cách thích hợp.</t>
  </si>
  <si>
    <t>Một số khiếu nại nhận được được phản hồi một cách thích hợp và có những cải tiến liên quan.</t>
  </si>
  <si>
    <t>Hầu hết các khiếu nại nhận được đều được phản hồi một cách thích hợp và dẫn tới các cải tiến liên quan.</t>
  </si>
  <si>
    <t>Toàn bộ các khiếu nại nhận được đều được phản hồi một cách thích hợp và có sự cải tiến liên tục trong toàn doanh nghiệp.</t>
  </si>
  <si>
    <t>Toàn bộ các khiếu nại nhận được đều được phản hồi một cách thích hợp và có sự cải tiến liên tục trong toàn doanh nghiệp và các đối tác trong hệ sinh thái của doanh nghiệp.</t>
  </si>
  <si>
    <t>1.4.3</t>
  </si>
  <si>
    <t>Quyền riêng tư</t>
  </si>
  <si>
    <t>TPBank có các quy định và chính sách liên quan đến bảo vệ dữ liệu cá nhân</t>
  </si>
  <si>
    <t>https://tpb.vn/bao-mat-thong-tin-khach-hang</t>
  </si>
  <si>
    <t>Khách hàng chưa tin tưởng doanh nghiệp sẽ đảm bảo quyền riêng tư của họ.</t>
  </si>
  <si>
    <t>Một số khách hàng tin tưởng doanh nghiệp sẽ thiết kế đảm bảo quyền riêng tư của họ.</t>
  </si>
  <si>
    <t>Hầu hết khách hàng tin tưởng doanh nghiệp sẽ thiết kế đảm bảo quyền riêng tư của họ.</t>
  </si>
  <si>
    <t>Toàn bộ khách hàng tin tưởng doanh nghiệp sẽ thiết kế đảm bảo quyền riêng tư của họ.</t>
  </si>
  <si>
    <t>Toàn bộ khách hàng tin tưởng doanh nghiệp và hệ sinh thái của doanh nghiệp sẽ thiết kế đảm bảo quyền riêng tư của họ.</t>
  </si>
  <si>
    <t>1.4.4</t>
  </si>
  <si>
    <t>Kiểm soát thông tin cá nhân, dữ liệu cá nhân</t>
  </si>
  <si>
    <t>TPBank có yêu cầu về bảo mật/an toàn thông tin và quản trị dữ liệu</t>
  </si>
  <si>
    <t>Người dùng chưa thể kiểm soát cách thông tin cá nhân, dữ liệu cá nhân của họ được sử dụng.</t>
  </si>
  <si>
    <t>Người dùng có thể kiểm soát cách doanh nghiệp sử dụng một số thông tin cá nhân, dữ liệu cá nhân của họ.</t>
  </si>
  <si>
    <t>Người dùng có thể kiểm soát cách doanh nghiệp sử dụng hầu hết thông tin cá nhân, dữ liệu cá nhân của họ.</t>
  </si>
  <si>
    <t>Người dùng nhận thức được và có thể dễ dàng kiểm soát cách doanh nghiệp sử dụng tất cả thông tin cá nhân, dữ liệu cá nhân của họ.</t>
  </si>
  <si>
    <t>Người dùng biết và có thể dễ dàng kiểm soát cách doanh nghiệp và các đối tác trong hệ sinh thái sử dụng tất cả thông tin cá nhân, dữ liệu cá nhân của họ.</t>
  </si>
  <si>
    <t>1.4.5</t>
  </si>
  <si>
    <t>Thúc đẩy niềm tin khách hàng</t>
  </si>
  <si>
    <t>TPBank nhấn mạnh an toàn, bảo mật, trải nghiệm số; năm 2025 tiếp tục đầu tư công nghệ và an ninh bảo mật.</t>
  </si>
  <si>
    <t>https://tpb.vn/tin-tuc/tin-tpbank/tpbank-dung-ai-va-du-lieu-thoi-gian-thuc-ngan-chan-giao-dich-dang-ngo</t>
  </si>
  <si>
    <t>Niềm tin của khách hàng chưa được đưa vào xem xét trong định hướng kinh doanh của doanh nghiệp.</t>
  </si>
  <si>
    <t>Một số bộ phận, đơn vị chức năng tiến hành kinh doanh theo cách thúc đẩy tạo niềm tin cho khách hàng.</t>
  </si>
  <si>
    <t>Hầu hết các bộ phận, đơn vị chức năng tiến hành kinh doanh theo cách thúc đẩy vào sự tin tưởng của khách hàng.</t>
  </si>
  <si>
    <t>Hoạt động kinh doanh được thực hiện bởi doanh nghiệp theo cách tối đa hóa niềm tin của khách hàng.</t>
  </si>
  <si>
    <t>Hoạt động kinh doanh được thực hiện bởi doanh nghiệp và các đối tác trong hệ sinh thái của doanh nghiệp theo cách tối đa hóa niềm tin của khách hàng.</t>
  </si>
  <si>
    <t>Quản lý marketing và thương hiệu</t>
  </si>
  <si>
    <t>2.1.1</t>
  </si>
  <si>
    <t>Chiến lược thương hiệu</t>
  </si>
  <si>
    <t>Định vị thương hiệu Ngân hàng số hàng đầu, gắn liền với hình ảnh công nghệ hiện đại, sáng tạo và lấy khách hàng trẻ làm trung tâm.</t>
  </si>
  <si>
    <t>Chiến lược thương hiệu số chưa tồn tại hoặc chỉ tồn tại theo sự vụ.</t>
  </si>
  <si>
    <t>Chiến lược thương hiệu số với nguyên tắc thương hiệu được áp dụng và hiểu tại một số bộ phận, đơn vị chức năng.</t>
  </si>
  <si>
    <t>Một chiến lược thương hiệu số với nguyên tắc thương hiệu được hiểu và áp dụng bởi hầu hết các bộ phận, đơn vị chức năng.</t>
  </si>
  <si>
    <t>Một chiến lược thương hiệu số với nguyên tắc thương hiệu được áp dụng và được hiểu trong toàn bộ doanh nghiệp.</t>
  </si>
  <si>
    <t>Một chiến lược thương hiệu số thống nhất với các nguyên tắc thương hiệu được áp dụng và được hiểu trong toàn bộ doanh nghiệp và các đối tác trong hệ sinh thái của doanh nghiệp.</t>
  </si>
  <si>
    <t>2.1.2</t>
  </si>
  <si>
    <t>Quản trị thương hiệu</t>
  </si>
  <si>
    <t>Quản trị thương hiệu nhất quán trên toàn bộ các kênh truyền thông, điểm chạm số và mạng lưới giao dịch LiveBank/Chi nhánh.</t>
  </si>
  <si>
    <t>3, 22</t>
  </si>
  <si>
    <t>Quản trị thương hiệu kỹ thuật số chưa tồn tại hoặc là tồn tại theo sự vụ.</t>
  </si>
  <si>
    <t>Một số bộ phận, đơn vị chức năng tuân thủ theo các quy tắc được thiết lập trong cấu trúc quản trị.</t>
  </si>
  <si>
    <t>Hầu hết các bộ phận, đơn vị chức năng tuân thủ các quy tắc được thiết lập trong cấu trúc quản trị.</t>
  </si>
  <si>
    <t>Toàn bộ doanh nghiệp tuân thủ các quy tắc được thiết lập trong cơ cấu quản trị.</t>
  </si>
  <si>
    <t>Toàn bộ doanh nghiệp và các đối tác trong hệ sinh thái của doanh nghiệp tuân thủ các quy tắc được thiết lập trong cơ cấu quản trị.</t>
  </si>
  <si>
    <t>2.1.3</t>
  </si>
  <si>
    <t>Chỉ số đo lường thương hiệu</t>
  </si>
  <si>
    <t>Brand Finance Vietnam 100 ghi nhận Chỉ số Sức mạnh Thương hiệu (BSI) của TPBank tăng mạnh lên 73.9/100 (xếp hạng AA). Các chỉ số cấu thành độ phủ kỹ thuật số như “mức độ quen thuộc thương hiệu” tăng từ 25% lên 42%, và điểm số thuộc tính “Đổi mới sáng tạo (Innovation)” đạt mức gần tuyệt đối 9.9/10.</t>
  </si>
  <si>
    <t>https://tpb.vn/tin-tuc/tin-tpbank/tpbank-va-con-duong-xay-dung-thuong-hieu-cong-nghe-ngan-hang-so-dam-chat-bank-tim</t>
  </si>
  <si>
    <t>Chỉ số phản ánh hoạt động của thương hiệu số được đo lường theo sự vụ.</t>
  </si>
  <si>
    <t>Có một quy trình được thực hiện ở một số bộ phận, đơn vị chức năng để đo lường chỉ số phản ánh hoạt động của thương hiệu số.</t>
  </si>
  <si>
    <t>Có một quy trình được áp dụng trên hầu hết các bộ phận, đơn vị chức năng để đo lường chỉ số phản ánh hoạt động của thương hiệu số.</t>
  </si>
  <si>
    <t>Có một quy trình hiệu quả trong toàn bộ doanh nghiệp để đo lường chỉ số phản ánh hoạt động của thương hiệu số.</t>
  </si>
  <si>
    <t>Có một quy trình hiệu quả được áp dụng trong toàn bộ doanh nghiệp và các đối tác trong hệ sinh thái của doanh nghiệp để đo lường chỉ số phản ánh hoạt động của thương hiệu số.</t>
  </si>
  <si>
    <t>2.1.4</t>
  </si>
  <si>
    <t>Chiến lược tiếp thị</t>
  </si>
  <si>
    <t>Chiến lược tiếp thị số (Digital Marketing) tối ưu hóa qua dữ liệu lớn, triển khai các chiến dịch sáng tạo cá nhân hóa cho từng phân khúc.</t>
  </si>
  <si>
    <t>https://tpb.vn/tin-tuc/tin-tpbank/the-tpbank-phat-trien-bung-no-voi-chien-luoc-ca-nhan-hoa-sac-net</t>
  </si>
  <si>
    <t>Chiến lược tiếp thị số chưa phù hợp với chiến lược tổng thể.</t>
  </si>
  <si>
    <t>Một số bộ phận, đơn vị chức năng có chiến lược tiếp thị số phù hợp với chiến lược tổng thể.</t>
  </si>
  <si>
    <t>Hầu hết các bộ phận, đơn vị chức năng đều có chiến lược tiếp thị số phù hợp với chiến lược tổng thể.</t>
  </si>
  <si>
    <t>Toàn bộ doanh nghiệp có chiến lược tiếp thị số phù hợp với chiến lược tổng thể.</t>
  </si>
  <si>
    <t>Toàn bộ doanh nghiệp và các đối tác trong hệ sinh thái của doanh nghiệp thống nhất về chiến lược tiếp thị số phù hợp với chiến lược hệ sinh thái tổng thể.</t>
  </si>
  <si>
    <t>Quản lý hệ sinh thái</t>
  </si>
  <si>
    <t>2.2.1</t>
  </si>
  <si>
    <t>Hệ sinh thái kinh doanh</t>
  </si>
  <si>
    <t>Xây dựng hệ sinh thái kinh doanh số mở rộng, kết nối thanh toán và dịch vụ tài chính với hàng trăm đối tác ví điện tử, e-commerce, fintech.</t>
  </si>
  <si>
    <t>https://tpb.vn/wps/portal/vni/news/tin-tuc/detail/!ut/p/z0/fYxNC4MwDIZ_jcfQVvZx9qIgTAaDob1I1GI7XdQZ3X7-qrsPwpv3gScRWuRCE66uRXYDYe-50KfynKhDqKTKZHg8yCiL0_s1uaj4FopU6P-C_-Ae06QjoeuB2HxY5DxWSF3ZIGMgZ4S3qWbHZu_siJc6kH7DzwvkSp73Do0jC9Rah9CjA3752NA8obNYW7BILbAdfE4LgjUwbydsvTgP0KAfasXY6eIL-jY4wQ!!/</t>
  </si>
  <si>
    <t>Doanh nghiệp chưa nhận thức được giá trị kinh doanh của việc tham gia hệ sinh thái.</t>
  </si>
  <si>
    <t>Doanh nghiệp thể hiện sự hiểu biết một phần về giá trị của việc tham gia hệ sinh thái và vai trò của doanh nghiệp trong đó.</t>
  </si>
  <si>
    <t>Doanh nghiệp thể hiện sự hiểu biết đầy đủ về giá trị của việc tham gia hệ sinh thái và vai trò của doanh nghiệp trong đó.</t>
  </si>
  <si>
    <t>Doanh nghiệp thể hiện sự hiểu biết đầy đủ về giá trị và đã bắt đầu xác định chiến lược tham gia hệ sinh thái và vai trò của doanh nghiệp trong đó.</t>
  </si>
  <si>
    <t>Doanh nghiệp thể hiện sự hiểu biết đầy đủ về giá trị của việc tham gia hệ sinh thái và đã xác định chiến lược hệ sinh thái và vai trò của doanh nghiệp trong đó.</t>
  </si>
  <si>
    <t>2.2.2</t>
  </si>
  <si>
    <t>Thiết kế hệ sinh thái</t>
  </si>
  <si>
    <t>TPBank là một trong những ngân hàng tiên phong tại Việt Nam làm chủ mô hình Open Banking (Ngân hàng mở) thông qua hệ thống kết nối API mở. Thay vì chỉ cung cấp dịch vụ ngân hàng truyền thống, TPBank tích hợp sâu năng lực xử lý tài chính của mình vào các ngành công nghiệp khác như Thương mại điện tử (Shopee, Lazada), Gọi xe/Giao hàng (Grab, Be), và các Ví điện tử (Momo, VNPAY).</t>
  </si>
  <si>
    <t>Doanh nghiệp chưa bắt đầu thiết kế hệ sinh thái.</t>
  </si>
  <si>
    <t>Doanh nghiệp đã bắt đầu thiết kế các hệ sinh thái để thúc đẩy chiến lược của mình.</t>
  </si>
  <si>
    <t>Doanh nghiệp đã thiết kế các hệ sinh thái để thúc đẩy chiến lược của mình nhằm gia tăng các dòng giá trị hiện có.</t>
  </si>
  <si>
    <t>Doanh nghiệp đã thiết kế các hệ sinh thái bền vững và mở rộng chiến lược của mình để tập trung vượt ra ngoài lĩnh vực hoạt động, mở ra các luồng giá trị mới.</t>
  </si>
  <si>
    <t>Doanh nghiệp đã thiết kế các hệ sinh thái bền vững và mở rộng chiến lược của mình bằng cách triển khai các năng lực liên ngành cho phép tạo ra các luồng giá trị mới.</t>
  </si>
  <si>
    <t>2.2.3</t>
  </si>
  <si>
    <t>Lựa chọn đối tác</t>
  </si>
  <si>
    <t>Quy trình lựa chọn đối tác hệ sinh thái chặt chẽ dựa trên uy tín, năng lực công nghệ và tiêu chuẩn an toàn bảo mật thông tin. Thay vì chỉ cung cấp dịch vụ ngân hàng truyền thống, TPBank tích hợp sâu năng lực xử lý tài chính của mình vào các ngành công nghiệp khác như Thương mại điện tử (Shopee, Lazada), Gọi xe/Giao hàng (Grab, Be), và các Ví điện tử (Momo, VNPAY).</t>
  </si>
  <si>
    <t>Doanh nghiệp chưa chọn đối tác như một phần của hệ sinh thái.</t>
  </si>
  <si>
    <t>Doanh nghiệp đã chọn các đối tác hệ sinh thái để hỗ trợ chiến lược của mình.</t>
  </si>
  <si>
    <t>Doanh nghiệp đã thiết lập quan hệ đối tác hệ sinh thái đang hỗ trợ chiến lược của mình.</t>
  </si>
  <si>
    <t>Doanh nghiệp đã thiết lập quan hệ đối tác hệ sinh thái tối ưu nâng cao chiến lược của mình ngoài ngành truyền thống (ngành lĩnh vực đang hoạt động của doanh nghiệp).</t>
  </si>
  <si>
    <t>Doanh nghiệp đã thiết lập quan hệ đối tác hệ sinh thái tối ưu và triển khai các năng lực liên ngành, tạo điều kiện cho các luồng giá trị mới.</t>
  </si>
  <si>
    <t>Bảo trợ tài chính</t>
  </si>
  <si>
    <t>2.3.1</t>
  </si>
  <si>
    <t>Ngân sách cho chuyển đổi số</t>
  </si>
  <si>
    <t>Việc đầu tư vào chuyển đổi số làm thay đổi mô hình vận hành khách hàng  giúp ngân hàng từng bước cải thiện CIR.TPBank sẽ tiếp tục mở rộng xu hướng chuyển đổi số, đầu tư dài hạn vào công nghệ.</t>
  </si>
  <si>
    <t>https://tpb.vn/tin-tuc/tin-tpbank/chuyen-doi-so-giup-ngan-hang-tinh-gon-chi-phi-gia-tang-hieu-qua-hoat-dong</t>
  </si>
  <si>
    <t>Doanh nghiệp chưa có ngân sách cho chuyển đổi số.</t>
  </si>
  <si>
    <t>Ngân sách sẵn có và linh hoạt để chuyển đổi số ở một số bộ phận, đơn vị chức năng.</t>
  </si>
  <si>
    <t>Ngân sách sẵn có và linh hoạt để chuyển đổi số trên hầu hết các bộ phận, đơn vị chức năng.</t>
  </si>
  <si>
    <t>Ngân sách luôn sẵn sàng và linh hoạt để chuyển đổi số trên toàn bộ doanh nghiệp.</t>
  </si>
  <si>
    <t>Ngân sách luôn sẵn sàng và linh hoạt để chuyển đổi số trên toàn bộ doanh nghiệp và các đối tác trong hệ sinh thái của doanh nghiệp.</t>
  </si>
  <si>
    <t>2.3.2</t>
  </si>
  <si>
    <t>Đo lường hiệu quả đầu tư</t>
  </si>
  <si>
    <t>Đo lường hiệu quả đầu tư công nghệ thông qua các chỉ số tăng trưởng khách hàng số, năng suất vận hành và tỷ lệ giao dịch tự động. (99,5% giao dịch được thực hiện qua kênh số như app TPBank, LiveBank.)</t>
  </si>
  <si>
    <t>KPI đánh giá các quyết định đầu tư chỉ được thiết lập theo sự vụ.</t>
  </si>
  <si>
    <t>Một số bộ phận, đơn vị chức năng có sẵn KPIs để đánh giá các quyết định đầu tư.</t>
  </si>
  <si>
    <t>Hầu hết bộ phận, đơn vị chức năng sử dụng KPIs để đánh giá các quyết định đầu tư.</t>
  </si>
  <si>
    <t>KPI để đánh giá các quyết định đầu tư được sử dụng trên toàn bộ doanh nghiệp.</t>
  </si>
  <si>
    <t>KPI để đánh giá các quyết định đầu tư được sử dụng trên toàn bộ doanh nghiệp và các đối tác trong hệ sinh thái của doanh nghiệp.</t>
  </si>
  <si>
    <t>2.3.3</t>
  </si>
  <si>
    <t>Đầu tư cải tiến liên tục</t>
  </si>
  <si>
    <t>Duy trì cơ chế đầu tư cải tiến liên tục cho hạ tầng CNTT và phần mềm ứng dụng nhằm đáp ứng sự phát triển công nghệ. (tiếp tục mở rộng sản phẩm chuyển đổi số)</t>
  </si>
  <si>
    <t>Quyết định đầu tư chưa được cải thiện dựa trên kết quả trong quá khứ.</t>
  </si>
  <si>
    <t>Quyết định đầu tư được cải thiện tại một số bộ phận, đơn vị chức năng.</t>
  </si>
  <si>
    <t>Các quyết định đầu tư liên tục được cải thiện trên hầu hết các bộ phận, đơn vị chức năng.</t>
  </si>
  <si>
    <t>Các quyết định đầu tư liên tục được cải thiện trong toàn doanh nghiệp.</t>
  </si>
  <si>
    <t>Các quyết định đầu tư liên tục được cải thiện trong toàn doanh nghiệp và các đối tác trong hệ sinh thái của nó.</t>
  </si>
  <si>
    <t>Hiểu biết về thị trường</t>
  </si>
  <si>
    <t>2.4.1</t>
  </si>
  <si>
    <t>Đánh giá xu hướng ngành</t>
  </si>
  <si>
    <t>không có thông tin</t>
  </si>
  <si>
    <t>Đánh giá xu hướng ngành chỉ được thực hiện theo sự vụ.</t>
  </si>
  <si>
    <t>Một số bộ phận, đơn vị chức năng đánh giá xu hướng ngành để thúc đẩy chiến lược số của họ.</t>
  </si>
  <si>
    <t>Hầu hết các bộ phận, đơn vị chức năng đánh giá xu hướng ngành để thúc đẩy chiến lược số của họ.</t>
  </si>
  <si>
    <t>Toàn bộ doanh nghiệp đánh giá xu hướng ngành để thúc đẩy chiến lược số của mình.</t>
  </si>
  <si>
    <t>Toàn bộ doanh nghiệp và các đối tác trong hệ sinh thái của doanh nghiệp đánh giá xu hướng ngành để thúc đẩy chiến lược số của họ.</t>
  </si>
  <si>
    <t>2.4.2</t>
  </si>
  <si>
    <t>Đánh giá nhu cầu của khách hàng</t>
  </si>
  <si>
    <t>Mọi nội dung đánh giá khách hàng đêu được chứng minh bằng dữ liệu hoặc bằng chứng vận hành cụ thể. (ICXS2019)</t>
  </si>
  <si>
    <t>https://tpb.vn/tin-tuc/tin-tpbank/tpbank-chinh-thuc-tro-thanh-ngan-hang-dau-tien-tai-viet-nam-chinh-phuc-duoc-chung-chi-trai-nghiem-khach-hang-quoc-te-icxs2019</t>
  </si>
  <si>
    <t>Phân tích nhu cầu của khách hàng chỉ được thực hiện theo sự vụ.</t>
  </si>
  <si>
    <t>Một số bộ phận, đơn vị chức năng phân tích nhu cầu của khách hàng để thúc đẩy chiến lược số của họ.</t>
  </si>
  <si>
    <t>Hầu hết các bộ phận, đơn vị chức năng phân tích nhu cầu của khách hàng để thúc đẩy chiến lược số của họ.</t>
  </si>
  <si>
    <t>Toàn bộ doanh nghiệp phân tích và dự đoán nhu cầu của khách hàng để thúc đẩy chiến lược số của mình.</t>
  </si>
  <si>
    <t>Toàn bộ doanh nghiệp và các đối tác trong hệ sinh thái của mình phân tích và dự đoán nhu cầu của khách hàng để thúc đẩy chiến lược số của họ.</t>
  </si>
  <si>
    <t>2.4.3</t>
  </si>
  <si>
    <t>Đánh giá mạng lưới giá trị</t>
  </si>
  <si>
    <t>Đánh giá mạng lưới giá trị tài chính số, tối ưu hóa chuỗi cung ứng dịch vụ thông qua kết nối liên kết đối tác. (tpbANK VÀ Viettel  đồng hành phát triển về mô hình ngân hàng số thế hệ mới)</t>
  </si>
  <si>
    <t>Đánh giá kết cấu giá trị chỉ được thực hiện theo sự vụ.</t>
  </si>
  <si>
    <t>Một số bộ phận, đơn vị chức năng phân tích mạng lưới giá trị để thúc đẩy chiến lược số của họ.</t>
  </si>
  <si>
    <t>Hầu hết các bộ phận, đơn vị chức năng phân tích mạng lưới giá trị để thúc đẩy chiến lược số của họ.</t>
  </si>
  <si>
    <t>Toàn bộ doanh nghiệp phân tích và dự đoán mạng lưới giá trị để thúc đẩy chiến lược số của mình.</t>
  </si>
  <si>
    <t>Toàn bộ doanh nghiệp và các đối tác trong hệ sinh thái của doanh nghiệp phân tích và dự đoán mạng lưới giá trị để thúc đẩy chiến lược số của họ.</t>
  </si>
  <si>
    <t>Quản lý danh mục sản phẩm, dịch vụ số</t>
  </si>
  <si>
    <t>2.5.1</t>
  </si>
  <si>
    <t>Cân đối danh mục sản phẩm và dịch vụ</t>
  </si>
  <si>
    <t>Cân đối danh mục sản phẩm số đa dạng cho cả khách hàng cá nhân (App TPBank, LiveBank) và doanh nghiệp (TPBank Biz).</t>
  </si>
  <si>
    <t>https://tpb.vn/tin-tuc/tin-tpbank/tpbank-va-viettel-ky-ket-hop-tac-chien-luoc</t>
  </si>
  <si>
    <t>Cân bằng danh mục đầu tư chỉ được thực hiện theo sự vụ.</t>
  </si>
  <si>
    <t>Một số bộ phận, đơn vị chức năng có danh mục sản phẩm và dịch vụ số phù hợp một phần với chiến lược của doanh nghiệp.</t>
  </si>
  <si>
    <t>Hầu hết các bộ phận, đơn vị chức năng đều có danh mục sản phẩm và dịch vụ số cân bằng, phù hợp nhất với chiến lược của doanh nghiệp.</t>
  </si>
  <si>
    <t>Toàn bộ doanh nghiệp có một danh mục sản phẩm và dịch vụ số cân bằng phù hợp nhất với chiến lược của mình.</t>
  </si>
  <si>
    <t>Toàn bộ doanh nghiệp và các đối tác trong hệ sinh thái của doanh nghiệp có một danh mục sản phẩm và dịch vụ số cân bằng, phù hợp nhất với chiến lược chung của mình.</t>
  </si>
  <si>
    <t>2.5.2</t>
  </si>
  <si>
    <t>Lộ trình danh mục sản phẩm và dịch vụ</t>
  </si>
  <si>
    <t>Lộ trình phát triển sản phẩm dịch vụ số rõ ràng, cập nhật định kỳ các tính năng đột phá như ChatPay, VoicePay, Paste to Pay.</t>
  </si>
  <si>
    <t>https://tpb.vn/tin-tuc/tin-tpbank/thuc-trang-chuyen-doi-so-cua-cac-ngan-hang-thuong-mai-viet-nam</t>
  </si>
  <si>
    <t>Lộ trình danh mục đầu tư chỉ được thực hiện theo sự vụ.</t>
  </si>
  <si>
    <t>Một số bộ phận, đơn vị chức năng có lộ trình danh mục sản phẩm và dịch vụ số phù hợp một phần với chiến lược của doanh nghiệp.</t>
  </si>
  <si>
    <t>Hầu hết các bộ phận, đơn vị chức năng đều có lộ trình danh mục sản phẩm và dịch vụ số phù hợp nhất với chiến lược của doanh nghiệp.</t>
  </si>
  <si>
    <t>Toàn bộ doanh nghiệp có lộ trình danh mục sản phẩm và dịch vụ số phù hợp nhất với chiến lược của mình.</t>
  </si>
  <si>
    <t>Doanh nghiệp và các đối tác trong hệ sinh thái của doanh nghiệp có một lộ trình danh mục các sản phẩm và dịch vụ số phù hợp nhất với chiến lược chung của mình.</t>
  </si>
  <si>
    <t>2.5.3</t>
  </si>
  <si>
    <t>Đổi mới danh mục sản phẩm và dịch vụ</t>
  </si>
  <si>
    <t>Thường xuyên đổi mới danh mục sản phẩm, tiên phong áp dụng tính năng cá nhân hóa và tự động hóa trong giao dịch.</t>
  </si>
  <si>
    <t>Đổi mới danh mục đầu tư chỉ được thực hiện theo sự vụ.</t>
  </si>
  <si>
    <t>Một số bộ phận, đơn vị chức năng có quy trình đổi mới danh mục sản phẩm và dịch vụ phù hợp một phần với chiến lược của doanh nghiệp.</t>
  </si>
  <si>
    <t>Hầu hết các bộ phận, đơn vị chức năng đều có quy trình đổi mới danh mục sản phẩm và dịch vụ phù hợp với chiến lược của doanh nghiệp.</t>
  </si>
  <si>
    <t>Toàn bộ doanh nghiệp có một quy trình đổi mới danh mục sản phẩm và dịch vụ phù hợp nhất với chiến lược của mình.</t>
  </si>
  <si>
    <t>Toàn bộ doanh nghiệp và các đối tác trong hệ sinh thái của doanh nghiệp có một quy trình đổi mới danh mục sản phẩm và dịch vụ phù hợp nhất với chiến lược chung của mình.</t>
  </si>
  <si>
    <t>Quản lý chiến lược</t>
  </si>
  <si>
    <t>2.6.1</t>
  </si>
  <si>
    <t>Chiến lược phù hợp với tầm nhìn</t>
  </si>
  <si>
    <t>Chiến lược chuyển đổi số nhất quán với tầm nhìn trở thành ngân hàng số hàng đầu Việt Nam.</t>
  </si>
  <si>
    <t>https://tpb.vn/tin-tuc/tin-tpbank/tpbank-dinh-nghia-lai-ngan-hang-so-toan-dien</t>
  </si>
  <si>
    <t>Doanh nghiệp chưa có tầm nhìn rõ ràng.</t>
  </si>
  <si>
    <t>Doanh nghiệp có một tầm nhìn và đang bắt đầu phát triển một chiến lược phù hợp.</t>
  </si>
  <si>
    <t>Doanh nghiệp có một chiến lược rõ ràng hầu hết phù hợp với tầm nhìn.</t>
  </si>
  <si>
    <t>Doanh nghiệp có một chiến lược rõ ràng hoàn toàn phù hợp với tầm nhìn.</t>
  </si>
  <si>
    <t>Doanh nghiệp và các đối tác trong hệ sinh thái của doanh nghiệp có một chiến lược rõ ràng hoàn toàn phù hợp với tầm nhìn.</t>
  </si>
  <si>
    <t>2.6.2</t>
  </si>
  <si>
    <t>Đồng bộ giữa các nhóm kinh doanh/nghiệp vụ và kỹ thuật</t>
  </si>
  <si>
    <t>Thống nhất và đồng bộ chặt chẽ giữa Khối Ngân hàng số, Khối CNTT và các khối kinh doanh nghiệp vụ.</t>
  </si>
  <si>
    <t>Hoạt động phối hợp xây dựng chiến lược doanh nghiệp giữa bộ phận (kinh doanh, kỹ thuật, khách hàng...) thuật chỉ được thực hiện theo sự vụ.</t>
  </si>
  <si>
    <t>Chiến lược doanh nghiệp đang bắt đầu được đồng phát triển giữa các nhóm kinh doanh/ nghiệp vụ và công nghệ.</t>
  </si>
  <si>
    <t>Chiến lược doanh nghiệp được đồng phát triển giữa các nhóm kinh doanh/nghiệp vụ và công nghệ trên các bộ phận, đơn vị chức năng cốt lõi.</t>
  </si>
  <si>
    <t>Chiến lược doanh nghiệp liên tục được tối ưu hóa giữa các nhóm nhóm kinh doanh/ nghiệp vụ và công nghệ trong toàn doanh nghiệp.</t>
  </si>
  <si>
    <t>Chiến lược doanh nghiệp liên tục được tối ưu hóa giữa các nhóm kinh doanh/ nghiệp vụ và công nghệ trong toàn doanh nghiệp và các đối tác trong hệ sinh thái của doanh nghiệp.</t>
  </si>
  <si>
    <t>2.6.3</t>
  </si>
  <si>
    <t>Đo lường các chỉ số</t>
  </si>
  <si>
    <t>Thiết lập hệ thống chỉ số đo lường (KPI/OKRs) theo dõi tiến độ chuyển đổi số và tỷ lệ số hóa giao dịch.</t>
  </si>
  <si>
    <t>Đo lường hiệu quả cho các mục tiêu chiến lược chỉ được thực hiện theo sự vụ.</t>
  </si>
  <si>
    <t>Một số bộ phận, đơn vị chức năng thực hiện các biện pháp đo lường kết quả các mục tiêu chiến lược.</t>
  </si>
  <si>
    <t>Hầu hết các bộ phận, đơn vị chức năng thực hiện toàn diện các biện pháp để đo lường kết quả các mục tiêu chiến lược.</t>
  </si>
  <si>
    <t>Toàn bộ các bộ phận, đơn vị chức năng thực hiện toàn diện các biện pháp phù hợp để đo lường kết quả các mục tiêu chiến lược.</t>
  </si>
  <si>
    <t>Toàn bộ các bộ phận, đơn vị chức năng và đối tác trong hệ sinh thái thực hiện toàn diện các biện pháp phù hợp để đo lường kết quả các mục tiêu chiến lược.</t>
  </si>
  <si>
    <t>2.6.4</t>
  </si>
  <si>
    <t>Quản lý rủi ro</t>
  </si>
  <si>
    <t>Tích hợp quản lý rủi ro công nghệ và an ninh mạng vào khung quản trị rủi ro chung toàn ngân hàng.</t>
  </si>
  <si>
    <t>Doanh nghiệp chưa có chiến lược quản lý rủi ro rõ ràng.</t>
  </si>
  <si>
    <t>Một chiến lược quản lý rủi ro đang bắt đầu được phát triển ở một số bộ phận, đơn vị chức năng.</t>
  </si>
  <si>
    <t>Một chiến lược quản lý rủi ro được áp dụng trên hầu hết các bộ phận, đơn vị chức năng.</t>
  </si>
  <si>
    <t>Một chiến lược quản lý rủi ro được thông qua bởi doanh nghiệp.</t>
  </si>
  <si>
    <t>Một chiến lược quản lý rủi ro chung được thông qua bởi doanh nghiệp và các đối tác hệ sinh thái của doanh nghiệp.</t>
  </si>
  <si>
    <t>2.6.5</t>
  </si>
  <si>
    <t>Lộ trình chuyển đổi</t>
  </si>
  <si>
    <t>Thực thi lộ trình chuyển đổi toàn diện theo 3 trụ cột công nghệ AI-Top, Data-First và Cloud-Ready.</t>
  </si>
  <si>
    <t>Doanh nghiệp chưa có lộ trình chuyển đổi rõ ràng.</t>
  </si>
  <si>
    <t>Một số bộ phận, đơn vị chức năng đang thực hiện lộ trình chuyển đổi</t>
  </si>
  <si>
    <t>Hầu hết các bộ phận, đơn vị chức năng đang thực hiện một lộ trình chuyển đổi nhất quán.</t>
  </si>
  <si>
    <t>Toàn bộ doanh nghiệp đang thực hiện một lộ trình chuyển đổi nhất quán.</t>
  </si>
  <si>
    <t>Toàn bộ doanh nghiệp và các đối tác trong hệ sinh thái của doanh nghiệp đang thực hiện một lộ trình chuyển đổi nhất quán.</t>
  </si>
  <si>
    <t>2.6.6</t>
  </si>
  <si>
    <t>Áp dụng chiến lược chuyển đổi số</t>
  </si>
  <si>
    <t>Áp dụng rộng rãi chiến lược chuyển đổi số trong toàn bộ hoạt động vận hành, kinh doanh và quản trị nội bộ.</t>
  </si>
  <si>
    <t>Truyền thông về chiến lược chuyển đổi số chưa được hiểu rõ.</t>
  </si>
  <si>
    <t>Chiến lược số được áp dụng ở một số bộ phận, đơn vị chức năng.</t>
  </si>
  <si>
    <t>Chiến lược số được áp dụng đầy đủ trên hầu hết các bộ phận, đơn vị chức năng.</t>
  </si>
  <si>
    <t>Chiến lược số được áp dụng đầy đủ trong toàn doanh nghiệp.</t>
  </si>
  <si>
    <t>Chiến lược số được chấp nhận hoàn toàn trong toàn doanh nghiệp và các đối tác trong hệ sinh thái của doanh nghiệp.</t>
  </si>
  <si>
    <t>2.6.7</t>
  </si>
  <si>
    <t>Quản trị chuyển đổi</t>
  </si>
  <si>
    <t>Mô hình quản trị chuyển đổi số do Ban điều hành chỉ đạo trực tiếp, đảm bảo nguồn lực và tiến độ triển khai.</t>
  </si>
  <si>
    <t>Quản trị chuyển đổi chỉ được thực hiện theo sự vụ.</t>
  </si>
  <si>
    <t>Một số bộ phận, đơn vị chức năng đã áp dụng mô hình quản trị chuyển đổi số chung.</t>
  </si>
  <si>
    <t>Hầu hết các bộ phận, đơn vị chức năng đã áp dụng một mô hình quản trị chuyển đổi số chung.</t>
  </si>
  <si>
    <t>Toàn bộ doanh nghiệp đã áp dụng một mô hình quản trị chuyển đổi số phổ biến và mạnh mẽ.</t>
  </si>
  <si>
    <t>Toàn bộ doanh nghiệp và các đối tác trong hệ sinh thái của doanh nghiệp đã áp dụng mô hình quản trị chuyển đổi số nhất quán và mạnh mẽ.</t>
  </si>
  <si>
    <t>2.6.8</t>
  </si>
  <si>
    <t>Nhận diện và áp dụng các bài học thành công</t>
  </si>
  <si>
    <t>Tổng kết, đánh giá và nhân rộng các bài học thành công từ dự án LiveBank, App TPBank sang các mảng nghiệp vụ khác.</t>
  </si>
  <si>
    <t>Việc áp dụng thông lệ tốt nhất chỉ được thực hiện theo sự vụ.</t>
  </si>
  <si>
    <t>Một số bộ phận, đơn vị chức năng xác định và khuyến khích áp dụng các thông lệ tốt nhất (best practices).</t>
  </si>
  <si>
    <t>Hầu hết các bộ phận, đơn vị chức năng tích cực xác định và khuyến khích áp dụng các thông lệ tốt nhất.</t>
  </si>
  <si>
    <t>Toàn bộ doanh nghiệp tích cực xác định và khuyến khích áp dụng các thông lệ tốt nhất.</t>
  </si>
  <si>
    <t>Toàn bộ doanh nghiệp và các đối tác trong hệ sinh thái của doanh nghiệp tích cực xác định và khuyến khích áp dụng các thông lệ tốt nhất.</t>
  </si>
  <si>
    <t>Quản trị công nghệ</t>
  </si>
  <si>
    <t>3.1.1</t>
  </si>
  <si>
    <t>Khung quản trị công nghệ</t>
  </si>
  <si>
    <t>Một khung quản trị công nghệ chưa được áp dụng chính thức.</t>
  </si>
  <si>
    <t>Một khung quản trị công nghệ đang được áp dụng ở một số bộ phận, đơn vị chức năng.</t>
  </si>
  <si>
    <t>Một khung quản trị công nghệ đang được áp dụng trên hầu hết các bộ phận, đơn vị chức năng.</t>
  </si>
  <si>
    <t>Một khung quản trị công nghệ đang được áp dụng trong toàn doanh nghiệp.</t>
  </si>
  <si>
    <t>Một khung quản trị công nghệ đang được áp dụng trên toàn doanh nghiệp và các đối tác trong hệ sinh thái của doanh nghiệp.</t>
  </si>
  <si>
    <t>3.1.2</t>
  </si>
  <si>
    <t>Tiêu chuẩn ngành</t>
  </si>
  <si>
    <t>TPBank định nghĩa lại ngân hàng số toàn diện</t>
  </si>
  <si>
    <t>Việc sử dụng các tiêu chuẩn ngành được thực hiện theo sự vụ và chưa tính đến lợi ích kinh doanh.</t>
  </si>
  <si>
    <t>Các tiêu chuẩn ngành có liên quan được sử dụng một phần để tối đa hóa lợi ích kinh doanh.</t>
  </si>
  <si>
    <t>Các tiêu chuẩn ngành có liên quan được tận dụng tối đa để tối đa hóa lợi ích kinh doanh.</t>
  </si>
  <si>
    <t>Doanh nghiệp sử dụng đầy đủ và đóng góp vào các tiêu chuẩn ngành có liên quan.</t>
  </si>
  <si>
    <t>Doanh nghiệp và các đối tác trong hệ sinh thái của doanh nghiệp tận dụng triệt để và đóng góp vào các tiêu chuẩn ngành có liên quan .</t>
  </si>
  <si>
    <t>3.1.3</t>
  </si>
  <si>
    <t>Quản lý môi trường</t>
  </si>
  <si>
    <t>Doanh nghiệp chủ động quản lý tác động đến môi trường của các hoạt động công nghệ của mình.</t>
  </si>
  <si>
    <t>Doanh nghiệp ít hoặc chưa xem xét đến tác động môi trường của các hoạt động công nghệ.</t>
  </si>
  <si>
    <t>Một số bộ phận, đơn vị chức năng xem xét tác động đến môi trường từ các hoạt động công nghệ của họ.</t>
  </si>
  <si>
    <t>Hầu hết các bộ phận, đơn vị chức năng quản lý tác động đến môi trường của các hoạt động công nghệ của họ.</t>
  </si>
  <si>
    <t>Doanh nghiệp và các đối tác trong hệ sinh thái của mình chủ động quản lý tác động đối với môi trường của các hoạt động công nghệ của họ.</t>
  </si>
  <si>
    <t>3.1.4</t>
  </si>
  <si>
    <t>Quản lý năng lượng</t>
  </si>
  <si>
    <t>Việc xem xét quản lý năng lượng được thực hiện theo sự vụ.</t>
  </si>
  <si>
    <t>Một số bộ phận, đơn vị chức năng quản lý tác động kinh tế của tiêu thụ năng lượng.</t>
  </si>
  <si>
    <t>Hầu hết các bộ phận, đơn vị chức năng quản lý tác động kinh tế của việc tiêu thụ năng lượng.</t>
  </si>
  <si>
    <t>Doanh nghiệp chủ động quản lý tác động kinh tế của việc tiêu thụ năng lượng.</t>
  </si>
  <si>
    <t>Doanh nghiệp và các đối tác hệ sinh thái của doanh nghiệp chủ động quản lý tác động kinh tế của việc tiêu thụ năng lượng.</t>
  </si>
  <si>
    <t>3.1.5</t>
  </si>
  <si>
    <t>Công nghệ mới</t>
  </si>
  <si>
    <t>Nhìn thấy lỗ hống trong bức tranh công nghệ và xây dựng các nền tẳng công nghệ vững chắc</t>
  </si>
  <si>
    <t>Doanh nghiệp ít hoặc chưa quan tâm đến các công nghệ mới.</t>
  </si>
  <si>
    <t>Một số bộ phận, đơn vị chức năng đã tích cực áp dụng các công nghệ mới cho hoạt động kinh doanh của họ.</t>
  </si>
  <si>
    <t>Doanh nghiệp đã tích cực áp dụng các công nghệ mới cho hoạt động kinh doanh.</t>
  </si>
  <si>
    <t>Doanh nghiệp đang chủ động tìm kiếm (scan) các công nghệ mới và hoạt động kinh doanh của họ.</t>
  </si>
  <si>
    <t>Doanh nghiệp và các đối tác trong hệ sinh thái của doanh nghiệp đang chủ động tìm kiếm các công nghệ mới và hoạt động kinh doanh của họ.</t>
  </si>
  <si>
    <t>Kiến trúc công nghệ và ứng dụng</t>
  </si>
  <si>
    <t>3.2.1</t>
  </si>
  <si>
    <t>Chiến lược/lộ trình công nghệ</t>
  </si>
  <si>
    <t>TPBank xác định ba trụ cột AI-Top, Data-First, Cloud Ready và định hướng phát triển ngân hàng thông minh.</t>
  </si>
  <si>
    <r>
      <rPr>
        <rFont val="Arial"/>
        <color rgb="FF1155CC"/>
        <sz val="10.0"/>
        <u/>
      </rPr>
      <t>https://tpb.vn/tin-tuc/tin-tpbank/cham-tuong-lai-nganh-tai-chinh-cung-ngan-hang-tri-tue-tpbank</t>
    </r>
    <r>
      <rPr>
        <rFont val="Arial"/>
        <sz val="10.0"/>
      </rPr>
      <t xml:space="preserve"> </t>
    </r>
  </si>
  <si>
    <t>Lộ trình công nghệ chưa phù hợp với chiến lược kinh doanh.</t>
  </si>
  <si>
    <t>Lộ trình công nghệ phù hợp một phần với chiến lược kinh doanh.</t>
  </si>
  <si>
    <t>Lộ trình công nghệ phù hợp với chiến lược kinh doanh của doanh nghiệp.</t>
  </si>
  <si>
    <t>Lộ trình công nghệ liên tục được tối ưu hóa để phù hợp và thúc đẩy chiến lược kinh doanh trong toàn doanh nghiệp.</t>
  </si>
  <si>
    <t>Lộ trình công nghệ liên tục được tối ưu hóa để phù hợp và thúc đẩy chiến lược kinh doanh trong toàn doanh nghiệp và các đối tác trong hệ sinh thái của doanh nghiệp.</t>
  </si>
  <si>
    <t>3.2.2</t>
  </si>
  <si>
    <t>Kiến trúc Microservices &amp; kiến trúc theo hướng dịch vụ (SOA - Service-Oriented Architecture)</t>
  </si>
  <si>
    <t>TPBank công bố chuyển đổi sang kiến trúc Microservices; nâng cấp ESB và Open API.</t>
  </si>
  <si>
    <t>Kiến trúc hướng dịch vụ được thực hiện theo sự vụ.</t>
  </si>
  <si>
    <t>Microservices đã được triển khai trong một số ứng dụng.</t>
  </si>
  <si>
    <t>Microservices được sử dụng trong hầu hết các ứng dụng và lập trình hướng sự kiện đang được triển khai.</t>
  </si>
  <si>
    <t>Microservices và lập trình hướng sự kiện được áp dụng đầy đủ trong bối cảnh ứng dụng của doanh nghiệp.</t>
  </si>
  <si>
    <t>Microservices và lập trình hướng sự kiện được áp dụng đầy đủ trong bối cảnh ứng dụng của doanh nghiệp và các đối tác trong hệ sinh thái của doanh nghiệp.</t>
  </si>
  <si>
    <t>3.2.3</t>
  </si>
  <si>
    <t>Mã nguồn mở</t>
  </si>
  <si>
    <t>Chưa tìm thấy công bố chính thức của TPBank trong các nguồn 2025 đã kiểm tra về việc áp dụng mã nguồn mở theo đúng tiêu chí này.</t>
  </si>
  <si>
    <t>Việc sử dụng nguồn mở chỉ được thực hiện theo sự vụ.</t>
  </si>
  <si>
    <t>Các giải pháp mã nguồn mở có liên quan được sử dụng một phần để tối đa hóa lợi ích kinh doanh.</t>
  </si>
  <si>
    <t>Các giải pháp mã nguồn mở có liên quan được sử dụng đầy đủ để tối đa hóa lợi ích kinh doanh.</t>
  </si>
  <si>
    <t>Doanh nghiệp sử dụng đầy đủ và đóng góp cho các giải pháp mã nguồn mở có liên quan.</t>
  </si>
  <si>
    <t>Doanh nghiệp và các đối tác hệ sinh thái của doanh nghiệp sử dụng đầy đủ và đóng góp cho các giải pháp mã nguồn mở có liên quan.</t>
  </si>
  <si>
    <t>3.2.4</t>
  </si>
  <si>
    <t>Khả năng cấu hình ứng dụng</t>
  </si>
  <si>
    <t>TPBank liên tục nâng cấp eBankX/eBankBiz và bổ sung tính năng số.</t>
  </si>
  <si>
    <t>https://tpb.vn/tin-tuc/tin-tpbank/khdn+nang+cap</t>
  </si>
  <si>
    <t>Các ứng dụng chủ yếu được tùy chỉnh.</t>
  </si>
  <si>
    <t>Một số ứng dụng được cấu hình linh hoạt, đáng tin cậy và nhanh chóng bởi doanh nghiệp.</t>
  </si>
  <si>
    <t>Hầu hết các ứng dụng được cấu hình linh hoạt, đáng tin cậy và nhanh chóng bởi doanh nghiệp.</t>
  </si>
  <si>
    <t>Tất cả các ứng dụng được cấu hình linh hoạt, đáng tin cậy và nhanh chóng bởi doanh nghiệp.</t>
  </si>
  <si>
    <t>Tất cả các ứng dụng đều được cấu hình linh hoạt, đáng tin cậy và nhanh chóng bởi doanh nghiệp và các đối tác trong hệ sinh thái của doanh nghiệp.</t>
  </si>
  <si>
    <t>3.2.5</t>
  </si>
  <si>
    <t>Nâng cao năng lực sử dụng điện toán đám mây (Cloud)</t>
  </si>
  <si>
    <t>TPBank xác định Cloud Ready là một trong ba trụ cột công nghệ; hạ tầng cloud được mở rộng.</t>
  </si>
  <si>
    <r>
      <rPr>
        <rFont val="Arial"/>
        <color rgb="FF1155CC"/>
        <sz val="10.0"/>
        <u/>
      </rPr>
      <t>https://tpb.vn/tin-tuc/tin-tpbank/cham-tuong-lai-nganh-tai-chinh-cung-ngan-hang-tri-tue-tpbank</t>
    </r>
    <r>
      <rPr>
        <rFont val="Arial"/>
        <sz val="10.0"/>
      </rPr>
      <t xml:space="preserve"> </t>
    </r>
  </si>
  <si>
    <t>Việc áp dụng các năng lực sử dụng điện toán đám mây chỉ được thực hiện theo sự vụ.</t>
  </si>
  <si>
    <t>Một số bộ phận, đơn vị chức năng đã bắt đầu xác định một cách tiếp cận chung để phát triển năng lực sử dụng điện toán đám mây của họ.</t>
  </si>
  <si>
    <t>Hầu hết các bộ phận, đơn vị chức năng đã bắt đầu xác định một cách tiếp cận chung để phát triển năng lực sử dụng điện toán đám mây của họ.</t>
  </si>
  <si>
    <t>Doanh nghiệp có một cách tiếp cận chung được cân nhắc kỹ lưỡng để phát triển năng lực sử dụng điện toán đám mây của mình nhằm tối đa hóa giá trị kinh doanh.</t>
  </si>
  <si>
    <t>Doanh nghiệp và các đối tác trong hệ sinh thái của doanh nghiệp có một cách tiếp cận chung được cân nhắc kỹ lưỡng để phát triển năng lực sử dụng điện toán đám mây của họ nhằm tối đa hóa giá trị kinh doanh.</t>
  </si>
  <si>
    <t>3.2.6</t>
  </si>
  <si>
    <t>Áp dụng API</t>
  </si>
  <si>
    <t>TPBank có hệ thống API từ năm 2019, kết nối hàng trăm đối tác và cung cấp hơn 2.000 dịch vụ số.</t>
  </si>
  <si>
    <t>https://tpb.vn/tin-tuc/tin-tpbank/tpbank-mang-hanh-trinh-so-den-trien-lam-thanh-tuu-dat-nuoc</t>
  </si>
  <si>
    <t>Việc sử dụng API chỉ được thực hiện theo sự vụ.</t>
  </si>
  <si>
    <t>Một số bộ phận, đơn vị chức năng đã bắt đầu hỗ trợ API.</t>
  </si>
  <si>
    <t>Doanh nghiệp bắt buộc sử dụng API cho tất cả các ứng dụng mới và đang bắt đầu áp dụng các thông số kỹ thuật mở.</t>
  </si>
  <si>
    <t>Doanh nghiệp bắt buộc sử dụng API dựa trên thông số kỹ thuật mở cho tất cả các ứng dụng và đã đạt được sự áp dụng rộng rãi.</t>
  </si>
  <si>
    <t>Doanh nghiệp và các đối tác trong hệ sinh thái của doanh nghiệp bắt buộc sử dụng API dựa trên các thông số kỹ thuật mở cho tất cả các ứng dụng và đã đạt được sự áp dụng rộng rãi.</t>
  </si>
  <si>
    <t>3.2.7</t>
  </si>
  <si>
    <t>Kiến trúc công nghệ</t>
  </si>
  <si>
    <t>Core Banking được nâng cấp; ESB được nâng cấp; Microservices, Open API và Cloud được triển khai.</t>
  </si>
  <si>
    <t>Kiến trúc công nghệ hỗ trợ các ứng dụng được thực hiện theo sự vụ.</t>
  </si>
  <si>
    <t>Kiến trúc công nghệ hỗ trợ triển khai kịp thời một số ứng dụng.</t>
  </si>
  <si>
    <t>Kiến trúc công nghệ hỗ trợ triển khai kịp thời hầu hết các ứng dụng.</t>
  </si>
  <si>
    <t>Kiến trúc công nghệ hỗ trợ liền mạch việc triển khai kịp thời các ứng dụng trong toàn doanh nghiệp.</t>
  </si>
  <si>
    <t>Kiến trúc công nghệ hỗ trợ liền mạch việc triển khai kịp thời các ứng dụng trong toàn doanh nghiệp và các đối tác trong hệ sinh thái của doanh nghiệp.</t>
  </si>
  <si>
    <t>An toàn thông tin mạng</t>
  </si>
  <si>
    <t>3.3.1</t>
  </si>
  <si>
    <t>Bảo đảm an toàn hệ thống thông tin theo cấp độ</t>
  </si>
  <si>
    <t>TPBank xác định AI-Top; hơn 80% hệ thống/công nghệ mới tích hợp AI; ứng dụng T’Aio, AI voice bot, chatbot, GenAI...</t>
  </si>
  <si>
    <t>Phê duyệt 80% Hồ sơ đề xuất cấp độ cho các hệ thống thông tin.</t>
  </si>
  <si>
    <t>Phê duyệt 100% Hồ sơ đề xuất cấp độ cho các hệ thống thông tin và triển khai đầy đủ phương án bảo đảm an toàn hệ thống thông tin cho 50% các HTTT.</t>
  </si>
  <si>
    <t>100% hệ thống thông tin được phê duyệt và triển khai đầy đủ phương án bảo đảm an toàn hệ thống thông tin theo cấp độ .</t>
  </si>
  <si>
    <t>- Mức độ 3 và định kỳ 100% các HTTT được kiểm tra, đánh giá định kỳ theo quy định của pháp luật.</t>
  </si>
  <si>
    <t>- Mức độ 4 và triển khai giám sát cho 100% các HTTT được giám sát, bảo vệ chuyên nghiệp.</t>
  </si>
  <si>
    <t>3.3.2</t>
  </si>
  <si>
    <t>Phát hiện và giảm thiểu xâm nhập</t>
  </si>
  <si>
    <t xml:space="preserve"> TPBank đã tích hợp hệ thống SIMO và danh sách cảnh báo, chặn giao dịch từ Cục An ninh mạng và phòng, chống tội phạm sử dụng công nghệ cao (A05 - Bộ Công an), đồng bộ hóa cảnh báo trên toàn bộ các kênh giao dịch để ngăn chặn lừa đảo trực tuyến và xâm nhập kịp thời.</t>
  </si>
  <si>
    <t>https://mekongasean.vn/bo-cong-an-ghi-nhan-no-luc-cua-tpbank-trong-cuoc-chien-chong-lua-dao-truc-tuyen-56579.html</t>
  </si>
  <si>
    <t>Việc phát hiện xâm nhập chỉ được thực hiện theo sự vụ.</t>
  </si>
  <si>
    <t>Doanh nghiệp phát hiện và giảm thiểu xâm nhập trong một số thành phần của các hệ thống.</t>
  </si>
  <si>
    <t>Doanh nghiệp phát hiện và giảm thiểu xâm nhập trong hầu hết các thành phần của các hệ thống.</t>
  </si>
  <si>
    <t>Doanh nghiệp phát hiện và giảm thiểu xâm nhập trong thời gian gần thực.</t>
  </si>
  <si>
    <t>Doanh nghiệp và các đối tác trong hệ sinh thái của doanh nghiệp phát hiện và giảm thiểu xâm nhập trong thời gian gần thực.</t>
  </si>
  <si>
    <t>3.3.3</t>
  </si>
  <si>
    <t>Bảo đảm an toàn, an ninh mạng</t>
  </si>
  <si>
    <t>Bảo vệ hệ thống thông tin được thực hiện theo sự vụ.</t>
  </si>
  <si>
    <t>Một số bộ phận, đơn vị chức năng có năng lực bảo đảm an toàn, an ninh mạng hiệu quả.</t>
  </si>
  <si>
    <t>Doanh nghiệp có năng lực bảo đảm an toàn, an ninh mạng hiệu quả.</t>
  </si>
  <si>
    <t>Doanh nghiệp có năng lực bảo đảm an toàn, an ninh mạng hiệu quả và liên tục được cải thiện.</t>
  </si>
  <si>
    <t>Doanh nghiệp và các đối tác trong hệ sinh thái của doanh nghiệp có năng lực bảo đảm an toàn, an ninh mạng hiệu quả và liên tục được cải thiện.</t>
  </si>
  <si>
    <t>3.3.4</t>
  </si>
  <si>
    <t>Bảo mật vật lý</t>
  </si>
  <si>
    <t xml:space="preserve"> Ứng dụng công nghệ xác thực đa lớp, mã QR động (có hiệu lực trong 120 giây), mã Smart OTP chính chủ, và sinh trắc học (khuôn mặt, vân tay).</t>
  </si>
  <si>
    <t>https://tpb.vn/tin-tuc/tin-tpbank/tu-tot-den-xuat-sac-dieu-gi-se-dua-ngan-hang-viet-vuon-tam</t>
  </si>
  <si>
    <t>Việc sử dụng các thành phần công nghệ để bảo mật vật lý được thực hiện theo sự vụ.</t>
  </si>
  <si>
    <t>Một số yếu tố công nghệ được sử dụng để đáp ứng nhu cầu bảo mật vật lý của doanh nghiệp.</t>
  </si>
  <si>
    <t>Các yếu tố công nghệ được sử dụng để đáp ứng nhu cầu bảo mật vật lý của doanh nghiệp.</t>
  </si>
  <si>
    <t>Các yếu tố công nghệ được sử dụng hiệu quả để đáp ứng nhu cầu bảo mật vật lý của doanh nghiệp.</t>
  </si>
  <si>
    <t>Các yếu tố công nghệ được sử dụng hiệu quả để đáp ứng nhu cầu bảo mật vật lý của doanh nghiệp và các đối tác trong hệ sinh thái của doanh nghiệp.</t>
  </si>
  <si>
    <t>Ứng dụng và nền tảng</t>
  </si>
  <si>
    <t>3.4.1</t>
  </si>
  <si>
    <t>Trí tuệ nhân tạo</t>
  </si>
  <si>
    <t xml:space="preserve">Hệ sinh thái đa bên rộng lớn: Hệ sinh thái số của TPBank hiện kết nối với hơn 100 đối tác chiến lược công nghệ và doanh nghiệp (như Viettel, VNPT AI...). </t>
  </si>
  <si>
    <r>
      <rPr>
        <rFont val="Arial"/>
        <color rgb="FF0000FF"/>
        <sz val="10.0"/>
        <u/>
      </rPr>
      <t xml:space="preserve">https://tpb.vn/tin-tuc/tin-tpbank/lanh-dao-tpbank-ke-chuyen-ung-dung-ai-trong-he-thong-ngan-hang
</t>
    </r>
    <r>
      <rPr>
        <rFont val="Arial"/>
        <color rgb="FF1155CC"/>
        <sz val="10.0"/>
        <u/>
      </rPr>
      <t>https://tpb.vn/tin-tuc/tin-tpbank/tpbank-xay-dung-ngan-hang-tri-tue</t>
    </r>
    <r>
      <rPr>
        <rFont val="Arial"/>
        <color rgb="FF1F1F1F"/>
        <sz val="10.0"/>
      </rPr>
      <t xml:space="preserve"> </t>
    </r>
  </si>
  <si>
    <t>Việc sử dụng trí tuệ nhân tạo chỉ được thực hiện theo sự vụ.</t>
  </si>
  <si>
    <t>Trí tuệ nhân tạo được một số bộ phận, đơn vị chức năng sử dụng để mang lại giá trị kinh tế.</t>
  </si>
  <si>
    <t>Trí tuệ nhân tạo được sử dụng trong toàn doanh nghiệp để mang lại giá trị kinh tế.</t>
  </si>
  <si>
    <t>Trí tuệ nhân tạo được sử dụng rộng rãi và ngày càng nhiều trong toàn doanh nghiệp để mang lại giá trị kinh tế.</t>
  </si>
  <si>
    <t>Trí tuệ nhân tạo được sử dụng rộng rãi và ngày càng nhiều trong toàn doanh nghiệp và các đối tác trong hệ sinh thái của doanh nghiệp để mang lại giá trị kinh tế.</t>
  </si>
  <si>
    <t>3.4.2</t>
  </si>
  <si>
    <t>Nền tảng dữ liệu lớn</t>
  </si>
  <si>
    <t>TPBank theo Data-First, coi dữ liệu là nền tảng cho phân tích, ra quyết định và AI.</t>
  </si>
  <si>
    <t>Doanh nghiệp chưa có nền tảng dữ liệu lớn.</t>
  </si>
  <si>
    <t>Doanh nghiệp đã có kế hoạch triển khai nền tảng dữ liệu lớn.</t>
  </si>
  <si>
    <t>Một nền tảng dữ liệu lớn đã được thiết lập và đi vào hoạt động.</t>
  </si>
  <si>
    <t>Một nền tảng dữ liệu lớn đang được sử dụng để thu thập, quản lý và phân tích dữ liệu trong toàn doanh nghiệp nhằm mang lại giá trị kinh tế.</t>
  </si>
  <si>
    <t>Một nền tảng dữ liệu lớn đang được sử dụng để thu thập, quản lý và phân tích dữ liệu trong toàn doanh nghiệp và các đối tác trong hệ sinh thái của doanh nghiệp nhằm mang lại giá trị kinh tế.</t>
  </si>
  <si>
    <t>3.4.3</t>
  </si>
  <si>
    <t>Công cụ phát triển ứng dụng</t>
  </si>
  <si>
    <t>Áp dụng CI/CD cho phát triển và nâng cấp ứng dụng; tự phát triển hàng trăm robot RPA; Khối CNTT xử lý hàng trăm dự án mỗi năm. Chưa công bố danh mục công cụ cụ thể.</t>
  </si>
  <si>
    <t>https://tpb.vn/tin-tuc/tin-tpbank/ky-la-ngan-hang-giong-nhu-mot-cong-ty-cong-nghe-xin</t>
  </si>
  <si>
    <t>web</t>
  </si>
  <si>
    <t>Suy luận từ việc áp dụng CI/CD, RPA; nguồn TECHCO là năm 2020.</t>
  </si>
  <si>
    <t>Việc sử dụng các công cụ phát triển ứng dụng được thực hiện theo sự vụ.</t>
  </si>
  <si>
    <t>Doanh nghiệp có sẵn một bộ công cụ phát triển ứng dụng để mang lại giá trị kinh tế.</t>
  </si>
  <si>
    <t>Doanh nghiệp có sẵn một bộ công cụ phát triển ứng dụng hoàn chỉnh để mang lại giá trị kinh tế.</t>
  </si>
  <si>
    <t>Doanh nghiệp có các công cụ phát triển ứng dụng tốt nhất trong cùng phân khúc và liên tục được nâng cao để mang lại giá trị kinh doanh.</t>
  </si>
  <si>
    <t>Doanh nghiệp và các đối tác trong hệ sinh thái của doanh nghiệp có sẵn các công cụ phát triển ứng dụng tốt nhất và liên tục được nâng cao để mang lại giá trị kinh doanh.</t>
  </si>
  <si>
    <t>3.4.4</t>
  </si>
  <si>
    <t>Danh mục công cụ</t>
  </si>
  <si>
    <t>Bộ nền tảng công nghệ lõi gồm AI, RPA, Big Data, Cloud và Open API; có hệ thống Bio Center cho xác thực sinh trắc học dùng chung các kênh.</t>
  </si>
  <si>
    <r>
      <rPr>
        <rFont val="Arial"/>
        <color rgb="FF1155CC"/>
        <sz val="10.0"/>
        <u/>
      </rPr>
      <t>https://tpb.vn/tin-tuc/tin-tpbank/tpbank-xay-dung-ngan-hang-tri-tue</t>
    </r>
    <r>
      <rPr>
        <rFont val="Arial"/>
        <sz val="10.0"/>
      </rPr>
      <t xml:space="preserve"> 
</t>
    </r>
    <r>
      <rPr>
        <rFont val="Arial"/>
        <color rgb="FF1155CC"/>
        <sz val="10.0"/>
        <u/>
      </rPr>
      <t>https://nhadautu.vn/loat-cong-nghe-di-dau-bao-chung-cho-vi-the-ngan-hang-so-hang-dau-cua-tpbank-d96774.html</t>
    </r>
    <r>
      <rPr>
        <rFont val="Arial"/>
        <sz val="10.0"/>
      </rPr>
      <t xml:space="preserve"> </t>
    </r>
  </si>
  <si>
    <t>Chưa có danh mục công cụ chi tiết được công bố.</t>
  </si>
  <si>
    <t>Doanh nghiệp chưa có hành động cụ thể để lập danh mục các công cụ.</t>
  </si>
  <si>
    <t>Một số bộ phận, đơn vị chức năng đã bắt đầu lập danh mục và tài liệu hóa các công cụ họ sử dụng.</t>
  </si>
  <si>
    <t>Hầu hết các bộ phận, đơn vị chức năng duy trì một danh mục và tài liệu hóa về các công cụ họ sử dụng.</t>
  </si>
  <si>
    <t>Có một danh mục toàn doanh nghiệp về các công cụ được sử dụng cùng với tài liệu toàn diện.</t>
  </si>
  <si>
    <t>Có một danh mục các công cụ được sử dụng trên toàn bộ doanh nghiệp và hệ sinh thái của doanh nghiệp cùng với tài liệu toàn diện.</t>
  </si>
  <si>
    <t>Kết nối và tính toán</t>
  </si>
  <si>
    <t>3.5.1</t>
  </si>
  <si>
    <t>Ảo hóa (ví dụ: SDN/NFV)</t>
  </si>
  <si>
    <t>Hạ tầng mạng dùng SD-WAN, công nghệ ONS và mô hình Active-Active DC-DR khi nâng cấp trung tâm dự phòng theo ISO 22301.</t>
  </si>
  <si>
    <t>Công nghệ ‘xịn’, TPBank đi đầu về áp dụng tiêu chuẩn quốc tế trong bảo đảm kinh doanh liên tục</t>
  </si>
  <si>
    <t>Chỉ có SD-WAN; chưa thấy công bố SDN/NFV đầy đủ.</t>
  </si>
  <si>
    <t>Ảo hóa chưa được sử dụng.</t>
  </si>
  <si>
    <t>Một số bộ phận, đơn vị chức năng sử dụng ảo hóa để mang lại giá trị kinh tế (giảm chi phí, tăng năng suất lao động, ...).</t>
  </si>
  <si>
    <t>Nhiều bộ phận, đơn vị chức năng sử dụng ảo hóa để mang lại giá trị kinh tế.</t>
  </si>
  <si>
    <t>Doanh nghiệp sử dụng hiệu quả ảo hóa ở bất cứ nơi nào nó mang lại giá trị kinh tế.</t>
  </si>
  <si>
    <t>Doanh nghiệp và các đối tác trong hệ sinh thái của doanh nghiệp sử dụng hiệu quả ảo hóa ở bất cứ nơi nào nó mang lại giá trị kinh tế.</t>
  </si>
  <si>
    <t>3.5.2</t>
  </si>
  <si>
    <t>Kết nối không dây</t>
  </si>
  <si>
    <t>Việc sử dụng kết nối không dây được thực hiện theo sự vụ.</t>
  </si>
  <si>
    <t>Một số bộ phận, đơn vị chức năng sử dụng kết nối không dây để mang lại giá trị kinh tế.</t>
  </si>
  <si>
    <t>Nhiều bộ phận, đơn vị chức năng sử dụng kết nối không dây để mang lại giá trị kinh tế.</t>
  </si>
  <si>
    <t>Doanh nghiệp sử dụng hiệu quả kết nối không dây phù hợp ở bất cứ nơi nào giá trị kinh tế được mang lại.</t>
  </si>
  <si>
    <t>Doanh nghiệp và các đối tác trong hệ sinh thái của doanh nghiệp sử dụng hiệu quả kết nối không dây thích hợp ở bất cứ nơi nào giá trị kinh tế được mang lại.</t>
  </si>
  <si>
    <t>3.5.3</t>
  </si>
  <si>
    <t>Giao thức Internet</t>
  </si>
  <si>
    <t>Việc sử dụng IP được thực hiện theo sự vụ.</t>
  </si>
  <si>
    <t>IP được một số bộ phận, đơn vị chức năng sử dụng một cách có chủ ý trong toàn doanh nghiệp.</t>
  </si>
  <si>
    <t>IP được sử dụng bởi hầu hết các bộ phận, đơn vị chức năng trong toàn doanh nghiệp.</t>
  </si>
  <si>
    <t>IP được sử dụng rộng rãi trong toàn doanh nghiệp.</t>
  </si>
  <si>
    <t>IP được sử dụng rộng rãi trong toàn doanh nghiệp và các đối tác trong hệ sinh thái của doanh nghiệp.</t>
  </si>
  <si>
    <t>3.5.4</t>
  </si>
  <si>
    <t>Internet vạn vật</t>
  </si>
  <si>
    <t xml:space="preserve">TPBank triển khai IoT </t>
  </si>
  <si>
    <t>https://tpb.vn/tin-tuc/tin-tpbank/ung-dung-ai-ngan-hang-pha-vo-moi-quy-tac-cua-ngan-hang-truyen-thong</t>
  </si>
  <si>
    <t>loT chưa được sử dụng.</t>
  </si>
  <si>
    <t>Một số bộ phận, đơn vị chức năng sử dụng IoT để mang lại giá trị kinh tế.</t>
  </si>
  <si>
    <t>Hầu hết bộ phận, đơn vị chức năng sử dụng IoT để mang lại giá trị kinh tế.</t>
  </si>
  <si>
    <t>Doanh nghiệp sử dụng hiệu quả IoT ở bất cứ nơi nào nó mang lại giá trị kinh tế.</t>
  </si>
  <si>
    <t>Doanh nghiệp và các đối tác trong hệ sinh thái của doanh nghiệp sử dụng hiệu quả IoT ở bất cứ nơi nào nó mang lại giá trị kinh tế.</t>
  </si>
  <si>
    <t>3.5.5</t>
  </si>
  <si>
    <t>Quản lý hạ tầng</t>
  </si>
  <si>
    <t>Quản lý hạ tầng theo ISO 20000 (2018) và ISO 22301 (2022); trung tâm dự phòng Active-Active; nâng cấp hệ thống không cần tạm dừng ứng dụng.</t>
  </si>
  <si>
    <r>
      <rPr>
        <rFont val="Arial"/>
        <color rgb="FF1155CC"/>
        <sz val="10.0"/>
        <u/>
      </rPr>
      <t>https://vietnamfinance.vn/cong-nghe-xin-tpbank-di-dau-ve-ap-dung-tieu-chuan-quoc-te-trong-bao-dam-kinh-doanh-lien-tuc-d87635.html</t>
    </r>
    <r>
      <rPr>
        <rFont val="Arial"/>
        <sz val="10.0"/>
      </rPr>
      <t xml:space="preserve">  
</t>
    </r>
    <r>
      <rPr>
        <rFont val="Arial"/>
        <color rgb="FF1155CC"/>
        <sz val="10.0"/>
        <u/>
      </rPr>
      <t>https://vneconomy.vn/tpbank-nhan-chung-chi-iso-20000-ve-quan-ly-dich-vu-cong-nghe-thong-tin.htm</t>
    </r>
    <r>
      <rPr>
        <rFont val="Arial"/>
        <sz val="10.0"/>
      </rPr>
      <t xml:space="preserve">  
</t>
    </r>
    <r>
      <rPr>
        <rFont val="Arial"/>
        <color rgb="FF1155CC"/>
        <sz val="10.0"/>
        <u/>
      </rPr>
      <t>https://tpb.vn/tin-tuc/tin-tpbank/ky-la-ngan-hang-giong-nhu-mot-cong-ty-cong-nghe-xin</t>
    </r>
    <r>
      <rPr>
        <rFont val="Arial"/>
        <sz val="10.0"/>
      </rPr>
      <t xml:space="preserve"> </t>
    </r>
  </si>
  <si>
    <t>Quản lý hạ tầng chỉ được thực hiện theo sự vụ.</t>
  </si>
  <si>
    <t>Một số khía cạnh của Quản lý hạ tầng đang đáp ứng nhu cầu của doanh nghiệp.</t>
  </si>
  <si>
    <t>Hầu hết các khía cạnh của Quản lý hạ tầng đang đáp ứng nhu cầu của doanh nghiệp.</t>
  </si>
  <si>
    <t>Quản lý (các) hạ tầng được tích hợp và đáp ứng nhu cầu của doanh nghiệp và liên tục được cải thiện.</t>
  </si>
  <si>
    <t>Quản lý (các) hạ tầng được tích hợp và đáp ứng nhu cầu của doanh nghiệp cũng như các đối tác trong hệ sinh thái của doanh nghiệp và liên tục được cải thiện.</t>
  </si>
  <si>
    <t>3.5.6</t>
  </si>
  <si>
    <t>Điều phối nguồn lực</t>
  </si>
  <si>
    <t>Điều phối nguồn lực được xử lý chưa hiệu quả.</t>
  </si>
  <si>
    <t>Điều phối nguồn lực đang đáp ứng một phần các - Mức dịch vụ bắt buộc do doanh nghiệp cung cấp.</t>
  </si>
  <si>
    <t>Điều phối nguồn lực đang đáp ứng các - Mức dịch vụ bắt buộc do doanh nghiệp cung cấp.</t>
  </si>
  <si>
    <t>Điều phối nguồn lực đang vượt trội - Mức dịch vụ cần thiết do doanh nghiệp cung cấp.</t>
  </si>
  <si>
    <t>Điều phối đang vượt trội - Mức dịch vụ cần thiết do doanh nghiệp và các đối tác hệ sinh thái của doanh nghiệp cung cấp.</t>
  </si>
  <si>
    <t>3.5.7</t>
  </si>
  <si>
    <t>Điện toán đám mây</t>
  </si>
  <si>
    <t>tăng trưởng mạnh về máy chủ vật lý, máy chủ ảo private cloud, storage, đường truyền và số lượng database, đảm bảo đáp ứng nhu cầu vận hành và phát triển.</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</si>
  <si>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</si>
  <si>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Hạ tầng điện toán đám mây chưa được sử dụng.</t>
  </si>
  <si>
    <t>Hạ tầng điện toán đám mây được một số bộ phận, đơn vị chức năng sử dụng để mang lại giá trị kinh tế.</t>
  </si>
  <si>
    <t>Hạ tầng điện toán đám mây được hầu hết các bộ phận, đơn vị chức năng sử dụng để mang lại giá trị kinh tế.</t>
  </si>
  <si>
    <t>Doanh nghiệp sử dụng hiệu quả hạ tầng điện toán đám mây ở toàn bộ những nơi mà nó giúp mang lại giá trị kinh tế.</t>
  </si>
  <si>
    <t>Doanh nghiệp và các đối tác trong hệ sinh thái của doanh nghiệp sử dụng hiệu quả hạ tầng điện toán đám mây ở toàn bộ những nơi mà nó giúp mang lại giá trị kinh tế.</t>
  </si>
  <si>
    <t>3.5.8</t>
  </si>
  <si>
    <t>Điện toán biên</t>
  </si>
  <si>
    <t>Không có thông tin</t>
  </si>
  <si>
    <t>Điện toán biên chưa được sử dụng.</t>
  </si>
  <si>
    <t>Một số bộ phận, đơn vị chức năng sử dụng điện toán biên để mang lại giá trị kinh tế.</t>
  </si>
  <si>
    <t>Nhiều bộ phận, đơn vị chức năng sử dụng điện toán biên để mang lại giá trị kinh tế.</t>
  </si>
  <si>
    <t>Doanh nghiệp sử dụng hiệu quả điện toán biên ở bất cứ nơi nào nó mang lại giá trị kinh tế.</t>
  </si>
  <si>
    <t>Doanh nghiệp và các đối tác trong hệ sinh thái của doanh nghiệp sử dụng hiệu quả điện toán biên ở bất cứ nơi nào nó mang lại giá trị kinh tế.</t>
  </si>
  <si>
    <t>3.5.9</t>
  </si>
  <si>
    <t>Tự động hóa</t>
  </si>
  <si>
    <t>TPBank sử dụng RPA, AI, ML, NLP; công bố hàng trăm robot RPA và tự động hóa CI/CD.</t>
  </si>
  <si>
    <r>
      <rPr>
        <rFont val="Arial"/>
        <color rgb="FF1155CC"/>
        <sz val="10.0"/>
        <u/>
      </rPr>
      <t>https://tpb.vn/tin-tuc/tin-tpbank/cham-tuong-lai-nganh-tai-chinh-cung-ngan-hang-tri-tue-tpbank</t>
    </r>
    <r>
      <rPr>
        <rFont val="Arial"/>
        <sz val="10.0"/>
      </rPr>
      <t xml:space="preserve"> </t>
    </r>
  </si>
  <si>
    <t>Tự động hóa chỉ được thực hiện theo sự vụ.</t>
  </si>
  <si>
    <t>Một số bộ phận, đơn vị chức năng đã áp dụng tự động hóa để mang lại giá trị kinh tế.</t>
  </si>
  <si>
    <t>Hầu hết các quy trình đều được tự động hóa và mang lại giá trị kinh tế.</t>
  </si>
  <si>
    <t>Tự động hóa Zero-Touch đã sẵn sàng và mang lại giá trị kinh tế trong toàn doanh nghiệp.</t>
  </si>
  <si>
    <t>Tự động hóa Zero-Touch đã sẵn sàng và mang lại giá trị kinh tế cho toàn doanh nghiệp và các đối tác trong hệ sinh thái của doanh nghiệp.</t>
  </si>
  <si>
    <t>Quản trị vận hành</t>
  </si>
  <si>
    <t>4.1.1</t>
  </si>
  <si>
    <t>Mô hình doanh nghiệp</t>
  </si>
  <si>
    <t>Mô hình ngân hàng số: hơn 90% hoạt động vận hành được số hóa, 98% giao dịch qua kênh số; kinh doanh tăng 30–40%/năm trong khi nhân sự tăng 4–5%.</t>
  </si>
  <si>
    <r>
      <rPr>
        <rFont val="Arial"/>
        <color rgb="FF1155CC"/>
        <sz val="10.0"/>
        <u/>
      </rPr>
      <t>https://tpb.vn/tin-tuc/tin-tpbank/chien-luoc-kien-tao-nen-nhung-man-but-toc-cua-tpbank</t>
    </r>
    <r>
      <rPr>
        <rFont val="Arial"/>
        <sz val="10.0"/>
      </rPr>
      <t xml:space="preserve">  
</t>
    </r>
    <r>
      <rPr>
        <rFont val="Arial"/>
        <color rgb="FF1155CC"/>
        <sz val="10.0"/>
        <u/>
      </rPr>
      <t>https://tpb.vn/tin-tuc/tin-tpbank/trendsetter-nganh-ngan-hang-la-co-tien-phong-dan-dat-cach-mang-ngan-hang-so</t>
    </r>
    <r>
      <rPr>
        <rFont val="Arial"/>
        <sz val="10.0"/>
      </rPr>
      <t xml:space="preserve"> </t>
    </r>
  </si>
  <si>
    <t>Mô hình vận hành chưa hỗ trợ chiến lược chuyển đổi số.</t>
  </si>
  <si>
    <t>Mô hình vận hành đang được xây dựng để phù hợp với chiến lược số.</t>
  </si>
  <si>
    <t>Mô hình vận hành của doanh nghiệp phù hợp với chiến lược số.</t>
  </si>
  <si>
    <t>Mô hình vận hành của doanh nghiệp thể hiện đầy đủ chiến lược số và nó liên tục được cải thiện.</t>
  </si>
  <si>
    <t>Mô hình hoạt động của doanh nghiệp và các đối tác trong hệ sinh thái của doanh nghiệp thể hiện đầy đủ chiến lược số và nó liên tục được cải thiện.</t>
  </si>
  <si>
    <t>4.1.2</t>
  </si>
  <si>
    <t>Quản lý rủi ro hoạt động</t>
  </si>
  <si>
    <t>Ủy ban Quản lý rủi ro giám sát chỉ số rủi ro hoạt động (gồm rủi ro CNTT, ngân hàng số); hệ thống kiểm soát nội bộ 3 tuyến độc lập.</t>
  </si>
  <si>
    <t>18, 19</t>
  </si>
  <si>
    <t>Quản lý rủi ro hoạt động chỉ được thực hiện theo sự vụ.</t>
  </si>
  <si>
    <t>Quản lý rủi ro hoạt động được áp dụng ở một số bộ phận, đơn vị chức năng.</t>
  </si>
  <si>
    <t>Quản lý rủi ro hoạt động được áp dụng trên hầu hết các bộ phận chức năng.</t>
  </si>
  <si>
    <t>Quản trị rủi ro hoạt động được áp dụng đầy đủ trong hoạt động của doanh nghiệp.</t>
  </si>
  <si>
    <t>Quản lý rủi ro hoạt động được áp dụng đầy đủ trong hoạt động của doanh nghiệp và các đối tác trong hệ sinh thái của doanh nghiệp.</t>
  </si>
  <si>
    <t>4.1.3</t>
  </si>
  <si>
    <t>Sự tuân thủ</t>
  </si>
  <si>
    <t>Tuân thủ sớm Thông tư 14/2025/TT-NHNN về an toàn vốn; hoàn tất phương pháp SA vào 09/2025; triển khai Basel III, IFRS 9; CAR trên 12%.</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</si>
  <si>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r>
      <rPr>
        <rFont val="Arial"/>
        <color rgb="FF1155CC"/>
        <sz val="10.0"/>
        <u/>
      </rPr>
      <t>https://tpb.vn/tin-tuc/tin-tpbank/chien-luoc-kien-tao-nen-nhung-man-but-toc-cua-tpbank</t>
    </r>
    <r>
      <rPr>
        <rFont val="Arial"/>
        <sz val="10.0"/>
      </rPr>
      <t xml:space="preserve"> </t>
    </r>
  </si>
  <si>
    <t>72; web</t>
  </si>
  <si>
    <t>Việc tuân thủ các yêu cầu pháp lý và quy định cũng như áp dụng các tiêu chuẩn chỉ được thực hiện theo sự vụ.</t>
  </si>
  <si>
    <t>Một số bộ phận, đơn vị chức năng tuân thủ các yêu cầu pháp lý và quy định cũng như áp dụng các tiêu chuẩn trong hoạt động của mình.</t>
  </si>
  <si>
    <t>Hầu hết các bộ phận, đơn vị chức năng tuân thủ các yêu cầu pháp lý và quy định cũng như áp dụng các tiêu chuẩn trong hoạt động của mình.</t>
  </si>
  <si>
    <t>Toàn bộ bộ phận, đơn vị chức năng tuân thủ đầy đủ các yêu cầu pháp lý và quy định cũng như áp dụng các tiêu chuẩn trong hoạt động của mình.</t>
  </si>
  <si>
    <t>Toàn bộ bộ phận, đơn vị chức năng và đối tác trong hệ sinh thái tuân thủ đầy đủ các yêu cầu pháp lý và quy định cũng như áp dụng các tiêu chuẩn trong hoạt động của mình.</t>
  </si>
  <si>
    <t>4.1.4</t>
  </si>
  <si>
    <t>Hoạt động bảo đảm vận hành an toàn trong quản lý tài sản doanh nghiệp</t>
  </si>
  <si>
    <t>Chứng nhận ISO 22301 về kinh doanh liên tục (Bureau Veritas), kèm ISO 27001, PCI DSS, ISO 20000; trung tâm dự phòng Active-Active.</t>
  </si>
  <si>
    <t>https://vietnamfinance.vn/cong-nghe-xin-tpbank-di-dau-ve-ap-dung-tieu-chuan-quoc-te-trong-bao-dam-kinh-doanh-lien-tuc-d87635.html</t>
  </si>
  <si>
    <t>Hoạt động bảo vệ tài sản của doanh nghiệp chỉ được thực hiện theo sự vụ.</t>
  </si>
  <si>
    <t>Doanh nghiệp đang bảo vệ một phần tài sản của mình.</t>
  </si>
  <si>
    <t>Hoạt động bảo đảm vận hành bảo vệ tài sản doanh nghiệp được thực hiện trong toàn bộ doanh nghiệp.</t>
  </si>
  <si>
    <t>Hoạt động bảo đảm vận hành bảo vệ toàn diện tài sản doanh nghiệp trong thời gian thực trên toàn doanh nghiệp.</t>
  </si>
  <si>
    <t>Hoạt động bảo đảm vận hành bảo vệ hoàn toàn tài sản doanh nghiệp trong thời gian thực trên toàn doanh nghiệp và được thống nhất với các đối tác trong hệ sinh thái của doanh nghiệp.</t>
  </si>
  <si>
    <t>Thiết kế và đổi mới sáng tạo dịch vụ</t>
  </si>
  <si>
    <t>4.2.1</t>
  </si>
  <si>
    <t>Đáp ứng yêu cầu kinh doanh/nghiệp vụ</t>
  </si>
  <si>
    <t>Phát triển sản phẩm từ nhu cầu/hành vi người dùng; TPBank Biz giải ngân trực tuyến trong 5 phút; LiveBank 24/7 đáp ứng giao dịch ngoài giờ.</t>
  </si>
  <si>
    <r>
      <rPr>
        <rFont val="Arial"/>
        <color rgb="FF1155CC"/>
        <sz val="10.0"/>
        <u/>
      </rPr>
      <t>https://tpb.vn/tin-tuc/tin-tpbank/tpbank-duoc-vinh-danh-chuyen-doi-so-xuat-sac</t>
    </r>
    <r>
      <rPr>
        <rFont val="Arial"/>
        <sz val="10.0"/>
      </rPr>
      <t xml:space="preserve"> 
</t>
    </r>
    <r>
      <rPr>
        <rFont val="Arial"/>
        <color rgb="FF1155CC"/>
        <sz val="10.0"/>
        <u/>
      </rPr>
      <t>https://tpb.vn/tin-tuc/tin-tpbank/tpbank-xay-dung-ngan-hang-tri-tue</t>
    </r>
    <r>
      <rPr>
        <rFont val="Arial"/>
        <sz val="10.0"/>
      </rPr>
      <t xml:space="preserve"> </t>
    </r>
  </si>
  <si>
    <t>Các yêu cầu nghiệp vụ được chuyển thành Kiến trúc và thiết kế dịch vụ được thực hiện theo sự vụ.</t>
  </si>
  <si>
    <t>Các yêu cầu kinh doanh/nghiệp vụ được hiểu bởi một số bộ phận, đơn vị chức năng và được chuyển thành Kiến trúc và thiết kế dịch vụ.</t>
  </si>
  <si>
    <t>Các yêu cầu kinh doanh/nghiệp vụ được hiểu bởi hầu hết các bộ phận, đơn vị chức năng và được chuyển thành Kiến trúc và thiết kế dịch vụ.</t>
  </si>
  <si>
    <t>Các yêu cầu kinh doanh/nghiệp vụ được doanh nghiệp hiểu đầy đủ và chuyển thành Kiến trúc và thiết kế dịch vụ.</t>
  </si>
  <si>
    <t>Các yêu cầu kinh doanh/nghiệp vụ được doanh nghiệp và các đối tác trong hệ sinh thái của doanh nghiệp hiểu đầy đủ và chuyển thành Kiến trúc và thiết kế dịch vụ.</t>
  </si>
  <si>
    <t>4.2.2</t>
  </si>
  <si>
    <t>Tư duy Thiết kế (Design Thinking)</t>
  </si>
  <si>
    <t>Tính năng mới được phát triển dựa trên quan sát hành vi người dùng, lấy người dùng làm trung tâm (ChatPay, Paste to Pay).</t>
  </si>
  <si>
    <t>https://tpb.vn/tin-tuc/tin-tpbank/tpbank-xay-dung-ngan-hang-tri-tue</t>
  </si>
  <si>
    <t>Tư duy Thiết kế chưa được sử dụng.</t>
  </si>
  <si>
    <t>Tư duy Thiết kế được áp dụng bởi một số bộ phận, đơn vị chức năng để hiểu nhu cầu và thách thức của các bên liên quan.</t>
  </si>
  <si>
    <t>Tư duy Thiết kế được hầu hết các bộ phận, đơn vị chức năng áp dụng để hiểu nhu cầu và thách thức của các bên liên quan.</t>
  </si>
  <si>
    <t>Tư duy Thiết kế được doanh nghiệp áp dụng đầy đủ để hiểu nhu cầu và thách thức của các bên liên quan.</t>
  </si>
  <si>
    <t>Tư duy Thiết kế được doanh nghiệp và các đối tác trong hệ sinh thái của doanh nghiệp áp dụng đầy đủ để hiểu nhu cầu và thách thức của các bên liên quan.</t>
  </si>
  <si>
    <t>4.2.3</t>
  </si>
  <si>
    <t>Phát triển linh hoạt</t>
  </si>
  <si>
    <t>Áp dụng CI/CD, nâng cấp không dừng ứng dụng; tự tạo khoảng 4–5 robot mỗi tuần. Chưa thấy công bố chính thức về Agile.</t>
  </si>
  <si>
    <r>
      <rPr>
        <rFont val="Arial"/>
        <color rgb="FF1155CC"/>
        <sz val="10.0"/>
        <u/>
      </rPr>
      <t>https://tpb.vn/tin-tuc/tin-tpbank/ky-la-ngan-hang-giong-nhu-mot-cong-ty-cong-nghe-xin</t>
    </r>
    <r>
      <rPr>
        <rFont val="Arial"/>
        <sz val="10.0"/>
      </rPr>
      <t xml:space="preserve"> 
</t>
    </r>
    <r>
      <rPr>
        <rFont val="Arial"/>
        <color rgb="FF1155CC"/>
        <sz val="10.0"/>
        <u/>
      </rPr>
      <t>https://tpb.vn/tin-tuc/tin-tpbank/trendsetter-nganh-ngan-hang-la-co-tien-phong-dan-dat-cach-mang-ngan-hang-so</t>
    </r>
    <r>
      <rPr>
        <rFont val="Arial"/>
        <sz val="10.0"/>
      </rPr>
      <t xml:space="preserve"> </t>
    </r>
  </si>
  <si>
    <t>Agile methods chưa được sử dụng.</t>
  </si>
  <si>
    <t>Agile methods được một số bộ phận, đơn vị chức năng áp dụng trong quá trình phát triển và cải tiến sản phẩm.</t>
  </si>
  <si>
    <t>Agile methods được hầu hết các bộ phận, đơn vị chức năng áp dụng trong quá trình phát triển và cải tiến sản phẩm.</t>
  </si>
  <si>
    <t>Agile methods được toàn bộ doanh nghiệp áp dụng trong quá trình phát triển và cải tiến sản phẩm.</t>
  </si>
  <si>
    <t>Agile methods được doanh nghiệp và các đối tác trong hệ sinh thái của doanh nghiệp áp dụng đầy đủ trong quá trình phát triển và cải tiến sản phẩm.</t>
  </si>
  <si>
    <t>4.2.4</t>
  </si>
  <si>
    <t>Tối ưu hóa quy trình</t>
  </si>
  <si>
    <t>Hơn 90% quy trình số hóa, giảm 40% chi phí vận hành, giảm 60% thời gian giao dịch quầy; giảm 90% giấy tờ; hàng trăm robot RPA.</t>
  </si>
  <si>
    <r>
      <rPr>
        <rFont val="Arial"/>
        <color rgb="FF1155CC"/>
        <sz val="10.0"/>
        <u/>
      </rPr>
      <t>https://tpb.vn/tin-tuc/tin-tpbank/chien-luoc-kien-tao-nen-nhung-man-but-toc-cua-tpbank</t>
    </r>
    <r>
      <rPr>
        <rFont val="Arial"/>
        <sz val="10.0"/>
      </rPr>
      <t xml:space="preserve"> 
</t>
    </r>
    <r>
      <rPr>
        <rFont val="Arial"/>
        <color rgb="FF1155CC"/>
        <sz val="10.0"/>
        <u/>
      </rPr>
      <t>https://vietnamfinance.vn/cong-nghe-xin-tpbank-di-dau-ve-ap-dung-tieu-chuan-quoc-te-trong-bao-dam-kinh-doanh-lien-tuc-d87635.html</t>
    </r>
    <r>
      <rPr>
        <rFont val="Arial"/>
        <sz val="10.0"/>
      </rPr>
      <t xml:space="preserve"> 
</t>
    </r>
    <r>
      <rPr>
        <rFont val="Arial"/>
        <color rgb="FF1155CC"/>
        <sz val="10.0"/>
        <u/>
      </rPr>
      <t>https://tpb.vn/tin-tuc/tin-tpbank/tpbank-duoc-vinh-danh-chuyen-doi-so-xuat-sac</t>
    </r>
    <r>
      <rPr>
        <rFont val="Arial"/>
        <sz val="10.0"/>
      </rPr>
      <t xml:space="preserve"> </t>
    </r>
  </si>
  <si>
    <t>Số lượng robot khác nhau giữa các bài (450+, ~500, gần 300), chưa thống nhất.</t>
  </si>
  <si>
    <t>Tối ưu hóa quy trình được thực hiện theo sự vụ.</t>
  </si>
  <si>
    <t>Một số bộ phận, đơn vị chức năng có tối ưu hóa quy trình hoạt động.</t>
  </si>
  <si>
    <t>Hầu hết các bộ phận, đơn vị chức năng có tối ưu hóa quy trình hoạt động.</t>
  </si>
  <si>
    <t>Các quy trình vận hành được doanh nghiệp tối ưu hóa hoàn toàn bất cứ khi nào có thể.</t>
  </si>
  <si>
    <t>Các quy trình vận hành được doanh nghiệp và các đối tác trong hệ sinh thái của doanh nghiệp tối ưu hóa hoàn toàn bất cứ khi nào có thể.</t>
  </si>
  <si>
    <t>4.2.5</t>
  </si>
  <si>
    <t>Đổi mới liên tục sản phẩm và dịch vụ</t>
  </si>
  <si>
    <t>Liên tục ra mắt T’Aio (2018), Facepay (2022), VoicePay, ChatPay (giải Asian Banker 2025), Paste to Pay; được vinh danh VDA 2 năm liên tiếp.</t>
  </si>
  <si>
    <r>
      <rPr>
        <rFont val="Arial"/>
        <color rgb="FF1155CC"/>
        <sz val="10.0"/>
        <u/>
      </rPr>
      <t>https://tpb.vn/tin-tuc/tin-tpbank/tpbank-duoc-vinh-danh-chuyen-doi-so-xuat-sac</t>
    </r>
    <r>
      <rPr>
        <rFont val="Arial"/>
        <sz val="10.0"/>
      </rPr>
      <t xml:space="preserve">  </t>
    </r>
    <r>
      <rPr>
        <rFont val="Arial"/>
        <color rgb="FF1155CC"/>
        <sz val="10.0"/>
        <u/>
      </rPr>
      <t>https://tpb.vn/tin-tuc/tin-tpbank/trendsetter-nganh-ngan-hang-la-co-tien-phong-dan-dat-cach-mang-ngan-hang-so</t>
    </r>
    <r>
      <rPr>
        <rFont val="Arial"/>
        <sz val="10.0"/>
      </rPr>
      <t xml:space="preserve"> </t>
    </r>
  </si>
  <si>
    <t>Đổi mới sáng tạo được thực hiện theo sự vụ.</t>
  </si>
  <si>
    <t>Một số bộ phận, đơn vị chức năng đổi mới để cải thiện các dịch vụ hiện có và giới thiệu những dịch vụ mới.</t>
  </si>
  <si>
    <t>Hầu hết các bộ phận, đơn vị chức năng đổi mới để cải thiện các dịch vụ hiện có và giới thiệu những dịch vụ mới.</t>
  </si>
  <si>
    <t>Doanh nghiệp liên tục đổi mới để cải thiện các dịch vụ hiện có và giới thiệu những dịch vụ mới.</t>
  </si>
  <si>
    <t>Doanh nghiệp và các đối tác trong hệ sinh thái của mình liên tục đổi mới để cải thiện các dịch vụ hiện có và giới thiệu các dịch vụ mới.</t>
  </si>
  <si>
    <t>4.2.6</t>
  </si>
  <si>
    <t>Hợp tác với đối tác</t>
  </si>
  <si>
    <t>Open API kết nối hàng trăm đối tác, 12 ví điện tử, BizConnex hơn 30 đối tác; ADB vinh danh ngân hàng đối tác hàng đầu.</t>
  </si>
  <si>
    <r>
      <rPr>
        <rFont val="Arial"/>
        <color rgb="FF1155CC"/>
        <sz val="10.0"/>
        <u/>
      </rPr>
      <t>https://nhadautu.vn/loat-cong-nghe-di-dau-bao-chung-cho-vi-the-ngan-hang-so-hang-dau-cua-tpbank-d96774.html</t>
    </r>
    <r>
      <rPr>
        <rFont val="Arial"/>
        <sz val="10.0"/>
      </rPr>
      <t xml:space="preserve"> 
</t>
    </r>
    <r>
      <rPr>
        <rFont val="Arial"/>
        <color rgb="FF1155CC"/>
        <sz val="10.0"/>
        <u/>
      </rPr>
      <t>https://tpb.vn/tin-tuc/tin-tpbank/tpbank-duoc-vinh-danh-chuyen-doi-so-xuat-sac</t>
    </r>
    <r>
      <rPr>
        <rFont val="Arial"/>
        <sz val="10.0"/>
      </rPr>
      <t xml:space="preserve"> 
</t>
    </r>
    <r>
      <rPr>
        <rFont val="Arial"/>
        <color rgb="FF1155CC"/>
        <sz val="10.0"/>
        <u/>
      </rPr>
      <t>https://tpb.vn/tin-tuc/tin-tpbank/trendsetter-nganh-ngan-hang-la-co-tien-phong-dan-dat-cach-mang-ngan-hang-so</t>
    </r>
    <r>
      <rPr>
        <rFont val="Arial"/>
        <sz val="10.0"/>
      </rPr>
      <t xml:space="preserve"> </t>
    </r>
  </si>
  <si>
    <t>Hợp tác đối tác được thực hiện theo sự vụ.</t>
  </si>
  <si>
    <t>Một số bộ phận, đơn vị chức năng có quy trình Hợp tác đối tác hiệu quả.</t>
  </si>
  <si>
    <t>Hầu hết các bộ phận, đơn vị chức năng đều có quy trình Hợp tác đối tác hiệu quả.</t>
  </si>
  <si>
    <t>Doanh nghiệp có một quy trình hiệu quả để Hợp tác các đối tác.</t>
  </si>
  <si>
    <t>Doanh nghiệp và các đối tác trong hệ sinh thái của mình có một quy trình hiệu quả để Hợp tác các đối tác.</t>
  </si>
  <si>
    <t>Chuyển tiếp/Triển khai dịch vụ</t>
  </si>
  <si>
    <t>4.3.1</t>
  </si>
  <si>
    <t>Quản lý thay đổi hoạt động</t>
  </si>
  <si>
    <t>Có chứng chỉ ISO 20000 trong đó có quản lý thay đổi và quản lý sự cố.</t>
  </si>
  <si>
    <t>https://vneconomy.vn/tpbank-nhan-chung-chi-iso-20000-ve-quan-ly-dich-vu-cong-nghe-thong-tin.htm</t>
  </si>
  <si>
    <t>Quản lý thay đổi được thực hiện theo sự vụ.</t>
  </si>
  <si>
    <t>Một số bộ phận, đơn vị chức năng đã thống nhất và xác định trách nhiệm quản lý thay đổi.</t>
  </si>
  <si>
    <t>Hầu hết các bộ phận, đơn vị chức năng đã thống nhất và xác định trách nhiệm quản lý thay đổi.</t>
  </si>
  <si>
    <t>Doanh nghiệp đã xác định rõ ràng trách nhiệm quản lý thay đổi.</t>
  </si>
  <si>
    <t>Doanh nghiệp và các đối tác trong hệ sinh thái của doanh nghiệp đã thống nhất và xác định rõ trách nhiệm đối với việc quản lý thay đổi.</t>
  </si>
  <si>
    <t>4.3.2</t>
  </si>
  <si>
    <t>Quản lý phát hành</t>
  </si>
  <si>
    <t>Áp dụng CI/CD cho phép nâng cấp không gián đoạn giao dịch; chưa thấy mô tả quy trình quản lý phát hành.</t>
  </si>
  <si>
    <t>Quản lý phát hành được thực hiện theo sự vụ.</t>
  </si>
  <si>
    <t>Cách tiếp cận Quản lý phát hành được một số bộ phận bộ phận, đơn vị chức năng đồng ý và áp dụng.</t>
  </si>
  <si>
    <t>Cách tiếp cận Quản lý phát hành được hầu hết các bộ phận bộ phận, đơn vị chức năng đồng ý và áp dụng.</t>
  </si>
  <si>
    <t>Cách tiếp cận Quản lý phát hành linh hoạt, được thống nhất và áp dụng trong toàn doanh nghiệp.</t>
  </si>
  <si>
    <t>Cách tiếp cận Quản lý phát hành linh hoạt, được thống nhất và áp dụng trong toàn doanh nghiệp và các đối tác trong hệ sinh thái của doanh nghiệp.</t>
  </si>
  <si>
    <t>4.3.3</t>
  </si>
  <si>
    <t>DevSecOps</t>
  </si>
  <si>
    <t>DevSecOps chưa được sử dụng.</t>
  </si>
  <si>
    <t>Các nguyên tắc DevSecOps đang bắt đầu được xác định.</t>
  </si>
  <si>
    <t>Các nguyên tắc DevSecOps được xác định và bắt đầu được giới thiệu.</t>
  </si>
  <si>
    <t>Các nguyên tắc DevSecOps được doanh nghiệp áp dụng triệt để.</t>
  </si>
  <si>
    <t>Các nguyên tắc DevSecOps được doanh nghiệp và các đối tác trong hệ sinh thái của doanh nghiệp áp dụng đầy đủ.</t>
  </si>
  <si>
    <t>4.3.4</t>
  </si>
  <si>
    <t>CI/CD</t>
  </si>
  <si>
    <t>Áp dụng CI/CD, nâng cấp hệ thống không cần tạm dừng ứng dụng, không gián đoạn hàng triệu giao dịch.</t>
  </si>
  <si>
    <t>CI/CD chưa được sử dụng.</t>
  </si>
  <si>
    <t>Quy trình công việc CI/CD đang bắt đầu được xác định.</t>
  </si>
  <si>
    <t>Quy trình công việc CI/CD được ghi lại đang bắt đầu được giới thiệu.</t>
  </si>
  <si>
    <t>Doanh nghiệp vận hành quy trình công việc CI/CD được ưu tiên và ghi chép đầy đủ.</t>
  </si>
  <si>
    <t>Doanh nghiệp và các đối tác trong hệ sinh thái của doanh nghiệp vận hành quy trình làm việc CI/CD được ưu tiên và ghi chép đầy đủ.</t>
  </si>
  <si>
    <t>Vận hành dịch vụ</t>
  </si>
  <si>
    <t>4.4.1</t>
  </si>
  <si>
    <t>Đảm bảo dịch vụ</t>
  </si>
  <si>
    <t>ISO 20000 (quản lý tính sẵn sàng, mức cam kết dịch vụ) và ISO 22301; Active-Active DC-DR; LiveBank 24/7.</t>
  </si>
  <si>
    <r>
      <rPr>
        <rFont val="Arial"/>
        <color rgb="FF1155CC"/>
        <sz val="10.0"/>
        <u/>
      </rPr>
      <t>https://vietnamfinance.vn/cong-nghe-xin-tpbank-di-dau-ve-ap-dung-tieu-chuan-quoc-te-trong-bao-dam-kinh-doanh-lien-tuc-d87635.html</t>
    </r>
    <r>
      <rPr>
        <rFont val="Arial"/>
        <sz val="10.0"/>
      </rPr>
      <t xml:space="preserve">  
</t>
    </r>
    <r>
      <rPr>
        <rFont val="Arial"/>
        <color rgb="FF1155CC"/>
        <sz val="10.0"/>
        <u/>
      </rPr>
      <t>https://vneconomy.vn/tpbank-nhan-chung-chi-iso-20000-ve-quan-ly-dich-vu-cong-nghe-thong-tin.htm</t>
    </r>
    <r>
      <rPr>
        <rFont val="Arial"/>
        <sz val="10.0"/>
      </rPr>
      <t xml:space="preserve"> </t>
    </r>
  </si>
  <si>
    <t>Đảm bảo dịch vụ được thực hiện theo sự vụ.</t>
  </si>
  <si>
    <t>Đảm bảo dịch vụ được ban hành nhưng thỉnh thoảng các dịch vụ mới đạt được - Mức hiệu suất đã thỏa thuận.</t>
  </si>
  <si>
    <t>Đảm bảo dịch vụ được áp dụng và các dịch vụ đang hoạt động ở - Mức hiệu suất đã thỏa thuận.</t>
  </si>
  <si>
    <t>Đảm bảo dịch vụ được áp dụng và các dịch vụ do doanh nghiệp cung cấp đang hoạt động ở - Mức hiệu suất đã thỏa thuận và liên tục cải thiện.</t>
  </si>
  <si>
    <t>Đảm bảo dịch vụ được áp dụng và các dịch vụ do doanh nghiệp và các đối tác trong hệ sinh thái của doanh nghiệp cung cấp đang hoạt động ở - Mức hiệu suất đã thỏa thuận và liên tục cải thiện.</t>
  </si>
  <si>
    <t>4.4.2</t>
  </si>
  <si>
    <t>SRE</t>
  </si>
  <si>
    <t>SRE chưa được sử dụng.</t>
  </si>
  <si>
    <t>SRE được thực hiện một phần bởi doanh nghiệp.</t>
  </si>
  <si>
    <t>SRE được thực hiện bởi doanh nghiệp.</t>
  </si>
  <si>
    <t>SRE được doanh nghiệp triển khai hiệu quả để cung cấp các hoạt động dịch vụ không có lỗi.</t>
  </si>
  <si>
    <t>SRE được doanh nghiệp và các đối tác trong hệ sinh thái của doanh nghiệp triển khai hiệu quả để cung cấp các hoạt động dịch vụ không có lỗi.</t>
  </si>
  <si>
    <t>4.4.3</t>
  </si>
  <si>
    <t>Hoạt động chuỗi cung ứng</t>
  </si>
  <si>
    <t>Hoạt động chuỗi cung ứng chưa linh hoạt và chưa kịp thời.</t>
  </si>
  <si>
    <t>Hoạt động chuỗi cung ứng có tính linh hoạt hạn chế.</t>
  </si>
  <si>
    <t>Hoạt động chuỗi cung ứng linh hoạt.</t>
  </si>
  <si>
    <t>Hoạt động chuỗi cung ứng linh hoạt và có thể phản ứng kịp thời với những thay đổi.</t>
  </si>
  <si>
    <t>Hoạt động chuỗi cung ứng của doanh nghiệp và các đối tác trong hệ sinh thái của doanh nghiệp rất linh hoạt và có thể phản ứng kịp thời với những thay đổi.</t>
  </si>
  <si>
    <t>4.4.4</t>
  </si>
  <si>
    <t>Đáp ứng yêu cầu sản phẩm và dịch vụ của khách hàng</t>
  </si>
  <si>
    <t>Mở tài khoản và nhận thẻ trong 5 phút; LiveBank 24/7; TPBank Biz giải ngân trong 5 phút; hơn 98% giao dịch qua kênh số.</t>
  </si>
  <si>
    <r>
      <rPr>
        <rFont val="Arial"/>
        <color rgb="FF1155CC"/>
        <sz val="10.0"/>
        <u/>
      </rPr>
      <t>https://tpb.vn/tin-tuc/tin-tpbank/tpbank-duoc-vinh-danh-chuyen-doi-so-xuat-sac</t>
    </r>
    <r>
      <rPr>
        <rFont val="Arial"/>
        <sz val="10.0"/>
      </rPr>
      <t xml:space="preserve"> 
</t>
    </r>
    <r>
      <rPr>
        <rFont val="Arial"/>
        <color rgb="FF1155CC"/>
        <sz val="10.0"/>
        <u/>
      </rPr>
      <t>https://tpb.vn/tin-tuc/tin-tpbank/tpbank-xay-dung-ngan-hang-tri-tue</t>
    </r>
    <r>
      <rPr>
        <rFont val="Arial"/>
        <sz val="10.0"/>
      </rPr>
      <t xml:space="preserve"> </t>
    </r>
  </si>
  <si>
    <t>Đáp ứng yêu cầu sản phẩm và dịch vụ được thực hiện theo sự vụ.</t>
  </si>
  <si>
    <t>Đáp ứng yêu cầu sản phẩm và dịch vụ đang bắt đầu để đảm bảo rằng các sản phẩm hoàn chỉnh và theo yêu cầu của khách hàng.</t>
  </si>
  <si>
    <t>Đáp ứng yêu cầu sản phẩm và dịch vụ đảm bảo các sản phẩm được cung cấp bởi doanh nghiệp là hoàn chỉnh và thường theo yêu cầu.</t>
  </si>
  <si>
    <t>Đáp ứng yêu cầu sản phẩm và dịch vụ đảm bảo các sản phẩm do doanh nghiệp cung cấp luôn đầy đủ và có sẵn theo yêu cầu.</t>
  </si>
  <si>
    <t>Đáp ứng yêu cầu sản phẩm và dịch vụ đảm bảo các sản phẩm do doanh nghiệp và các đối tác trong hệ sinh thái của doanh nghiệp cung cấp luôn đầy đủ và sẵn sàng theo yêu cầu.</t>
  </si>
  <si>
    <t>4.4.5</t>
  </si>
  <si>
    <t>Giám sát hoạt động</t>
  </si>
  <si>
    <t>Ủy ban Quản lý rủi ro giám sát chỉ số rủi ro vận hành; giám sát giao dịch theo thời gian thực bằng AI, Big Data.</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</si>
  <si>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r>
      <rPr>
        <rFont val="Arial"/>
        <color rgb="FF1155CC"/>
        <sz val="10.0"/>
        <u/>
      </rPr>
      <t>https://tpb.vn/tin-tuc/tin-tpbank/tpbank-dung-ai-va-du-lieu-thoi-gian-thuc-ngan-chan-giao-dich-dang-ngo</t>
    </r>
    <r>
      <rPr>
        <rFont val="Arial"/>
        <sz val="10.0"/>
      </rPr>
      <t xml:space="preserve"> </t>
    </r>
  </si>
  <si>
    <t>18; web</t>
  </si>
  <si>
    <t>Giám sát hoạt động được thực hiện theo sự vụ.</t>
  </si>
  <si>
    <t>Giám sát hoạt động cung cấp cái nhìn một phần về hiệu suất dịch vụ để quản lý các dịch vụ do doanh nghiệp cung cấp.</t>
  </si>
  <si>
    <t>Giám sát hoạt động cung cấp một cái nhìn toàn diện về hiệu suất dịch vụ để quản lý các dịch vụ do doanh nghiệp cung cấp.</t>
  </si>
  <si>
    <t>Giám sát hoạt động cung cấp một cái nhìn tổng thể theo thời gian thực về hiệu suất dịch vụ để quản lý và cải thiện các dịch vụ do doanh nghiệp cung cấp.</t>
  </si>
  <si>
    <t>Giám sát hoạt động cung cấp một cái nhìn tổng thể theo thời gian thực về hiệu suất dịch vụ để quản lý và cải thiện các dịch vụ do doanh nghiệp và các đối tác trong hệ sinh thái của doanh nghiệp cung cấp.</t>
  </si>
  <si>
    <t>4.4.6</t>
  </si>
  <si>
    <t>Hoạt động quản lý doanh thu</t>
  </si>
  <si>
    <t>Các công nghệ số chưa được doanh nghiệp sử dụng để đảm bảo doanh thu.</t>
  </si>
  <si>
    <t>Các công nghệ số được doanh nghiệp sử dụng một phần để đảm bảo doanh thu.</t>
  </si>
  <si>
    <t>Các công nghệ số được doanh nghiệp sử dụng để đảm bảo doanh thu.</t>
  </si>
  <si>
    <t>Các công nghệ số được doanh nghiệp sử dụng rộng rãi để đảm bảo doanh thu theo thời gian thực.</t>
  </si>
  <si>
    <t>Các công nghệ số được doanh nghiệp và các đối tác trong hệ sinh thái của doanh nghiệp sử dụng rộng rãi để đảm bảo doanh thu theo thời gian thực.</t>
  </si>
  <si>
    <t>4.4.7</t>
  </si>
  <si>
    <t>Hoạt động quản lý gian lận</t>
  </si>
  <si>
    <t>AI, Big Data, chấm điểm rủi ro; “điểm dừng thông minh” kèm xác thực sinh trắc học; liên thông SIMO và danh sách cảnh báo của Bộ Công an; cảnh báo gần 52.000 giao dịch, ngăn nguy cơ gần 300 tỷ đồng.</t>
  </si>
  <si>
    <r>
      <rPr>
        <rFont val="Arial"/>
        <color rgb="FF1155CC"/>
        <sz val="10.0"/>
        <u/>
      </rPr>
      <t>https://tpb.vn/tin-tuc/tin-tpbank/tpbank-dung-ai-va-du-lieu-thoi-gian-thuc-ngan-chan-giao-dich-dang-ngo</t>
    </r>
    <r>
      <rPr>
        <rFont val="Arial"/>
        <sz val="10.0"/>
      </rPr>
      <t xml:space="preserve"> </t>
    </r>
    <r>
      <rPr>
        <rFont val="Arial"/>
        <color rgb="FF1155CC"/>
        <sz val="10.0"/>
        <u/>
      </rPr>
      <t>https://thitruongtaichinhtiente.vn/ngay-chuyen-doi-so-nganh-ngan-hang-dau-an-cua-tpbank-voi-ung-dung-ai-trong-quan-tri-rui-ro-84985.html</t>
    </r>
    <r>
      <rPr>
        <rFont val="Arial"/>
        <sz val="10.0"/>
      </rPr>
      <t xml:space="preserve"> </t>
    </r>
  </si>
  <si>
    <t>Các công nghệ số chưa được doanh nghiệp sử dụng để ngăn chặn rủi ro.</t>
  </si>
  <si>
    <t>Các công nghệ số được doanh nghiệp sử dụng một phần để ngăn chặn gian lận.</t>
  </si>
  <si>
    <t>Các công nghệ số được doanh nghiệp sử dụng để ngăn chặn gian lận.</t>
  </si>
  <si>
    <t>Các công nghệ số được doanh nghiệp sử dụng rộng rãi để ngăn chặn gian lận trong thời gian thực.</t>
  </si>
  <si>
    <t>Các công nghệ số được doanh nghiệp và các đối tác trong hệ sinh thái của doanh nghiệp sử dụng rộng rãi để ngăn chặn gian lận trong thời gian thực.</t>
  </si>
  <si>
    <t>4.4.8</t>
  </si>
  <si>
    <t>Vận hành hệ thống</t>
  </si>
  <si>
    <t>Vận hành Active-Active DC-DR, chứng nhận ISO 22301, ISO 20000; LiveBank hoạt động 24/7.</t>
  </si>
  <si>
    <r>
      <rPr>
        <rFont val="Arial"/>
        <color rgb="FF1155CC"/>
        <sz val="10.0"/>
        <u/>
      </rPr>
      <t>https://vietnamfinance.vn/cong-nghe-xin-tpbank-di-dau-ve-ap-dung-tieu-chuan-quoc-te-trong-bao-dam-kinh-doanh-lien-tuc-d87635.html</t>
    </r>
    <r>
      <rPr>
        <rFont val="Arial"/>
        <sz val="10.0"/>
      </rPr>
      <t xml:space="preserve"> ; </t>
    </r>
    <r>
      <rPr>
        <rFont val="Arial"/>
        <color rgb="FF1155CC"/>
        <sz val="10.0"/>
        <u/>
      </rPr>
      <t>https://tpb.vn/tin-tuc/tin-tpbank/tpbank-duoc-vinh-danh-chuyen-doi-so-xuat-sac</t>
    </r>
    <r>
      <rPr>
        <rFont val="Arial"/>
        <sz val="10.0"/>
      </rPr>
      <t xml:space="preserve"> </t>
    </r>
  </si>
  <si>
    <t>Nâng cấp, cải tiến hệ thống sẵn có chỉ được thực hiện theo sự vụ.</t>
  </si>
  <si>
    <t>Các hệ thống cũ được nâng cấp và tích hợp một phần vào các hoạt động tổng thể.</t>
  </si>
  <si>
    <t>Các hệ thống cũ được nâng cấp và tích hợp vào các hoạt động tổng thể.</t>
  </si>
  <si>
    <t>Các hệ thống cũ được nâng cấp và tích hợp đầy đủ và liền mạch vào các hoạt động tổng thể.</t>
  </si>
  <si>
    <t>Các hệ thống cũ của doanh nghiệp và đối tác trong hệ sinh thái của doanh nghiệp được nâng cấp và tích hợp đầy đủ và liền mạch vào các hoạt động tổng thể.</t>
  </si>
  <si>
    <t>Giá trị doanh nghiệp</t>
  </si>
  <si>
    <t>5.1.1</t>
  </si>
  <si>
    <t>Hành vi lãnh đạo</t>
  </si>
  <si>
    <t>Ban lãnh đạo coi văn hóa doanh nghiệp là trọng tâm, cấp quản lý gương mẫu về chuyên môn và đạo đức; Tổng giám đốc được trao giải Thành tựu lãnh đạo đổi mới sáng tạo (2021).</t>
  </si>
  <si>
    <r>
      <rPr>
        <rFont val="Arial"/>
        <color rgb="FF1155CC"/>
        <sz val="10.0"/>
        <u/>
      </rPr>
      <t>https://tpb.vn/tin-tuc/tin-tpbank/tpbank-duoc-cong-nhan-doanh-nghiep-dat-chuan-van-hoa-kinh-doanh-tai-viet-nam</t>
    </r>
    <r>
      <rPr>
        <rFont val="Arial"/>
        <sz val="10.0"/>
      </rPr>
      <t xml:space="preserve"> ; </t>
    </r>
    <r>
      <rPr>
        <rFont val="Arial"/>
        <color rgb="FF1155CC"/>
        <sz val="10.0"/>
        <u/>
      </rPr>
      <t>https://vtcnews.vn/tong-giam-doc-tpbank-duoc-trao-giai-thanh-tuu-lanh-dao-doi-moi-sang-tao-ar627714.html</t>
    </r>
    <r>
      <rPr>
        <rFont val="Arial"/>
        <sz val="10.0"/>
      </rPr>
      <t xml:space="preserve"> </t>
    </r>
  </si>
  <si>
    <t>Hành vi của lãnh đạo được thực hiện theo sự vụ, chưa có sự liên kết rõ ràng với chiến lược và hoàn cảnh của doanh nghiệp.</t>
  </si>
  <si>
    <t>Hành vi lãnh đạo trong một số bộ phận, đơn vị chức năng phù hợp với chiến lược và bối cảnh của doanh nghiệp.</t>
  </si>
  <si>
    <t>Hành vi lãnh đạo trong hầu hết các bộ phận, đơn vị chức năng phù hợp với chiến lược và bối cảnh của doanh nghiệp.</t>
  </si>
  <si>
    <t>Hành vi lãnh đạo trong toàn doanh nghiệp hoàn toàn phù hợp với chiến lược và bối cảnh của doanh nghiệp.</t>
  </si>
  <si>
    <t>Hành vi lãnh đạo trong toàn doanh nghiệp và các đối tác trong hệ sinh thái hoàn toàn phù hợp với chiến lược và bối cảnh chung của họ.</t>
  </si>
  <si>
    <t>5.1.2</t>
  </si>
  <si>
    <t>Tác động của nhân viên</t>
  </si>
  <si>
    <t>Nhân viên là bên đánh giá trong khảo sát HR Asia; ghi nhận sự lắng nghe của lãnh đạo và môi trường làm việc linh hoạt.</t>
  </si>
  <si>
    <t>https://plo.vn/tpbank-tiep-tuc-la-noi-lam-viec-tot-nhat-chau-a-theo-hr-asia-awards-2023-post745619.html</t>
  </si>
  <si>
    <t>Nhân viên chưa hiểu tác động của họ đối với doanh nghiệp.</t>
  </si>
  <si>
    <t>Nhân viên trong một số bộ phận, đơn vị chức năng hiểu tác động của họ ở cấp độ bộ phận, đơn vị chức năng.</t>
  </si>
  <si>
    <t>Nhân viên trong hầu hết các bộ phận, đơn vị chức năng hiểu tác động của họ ở cấp độ bộ phận, đơn vị chức năng.</t>
  </si>
  <si>
    <t>Tất cả nhân viên của doanh nghiệp hiểu đầy đủ tác động của họ đối với doanh nghiệp.</t>
  </si>
  <si>
    <t>Tất cả nhân viên của doanh nghiệp và các đối tác trong hệ sinh thái của doanh nghiệp hiểu đầy đủ về tác động và đóng góp của họ đối với hoạt động kinh doanh chung của họ.</t>
  </si>
  <si>
    <t>5.1.3</t>
  </si>
  <si>
    <t>Giá trị được chia sẻ</t>
  </si>
  <si>
    <t>Năm giá trị cốt lõi Liêm chính – Sáng tạo – Cầu tiến – Hợp lực – Bền bỉ; bộ quy tắc ứng xử; chương trình Phát triển văn hóa doanh nghiệp.</t>
  </si>
  <si>
    <r>
      <rPr>
        <rFont val="Arial"/>
        <color rgb="FF1155CC"/>
        <sz val="10.0"/>
        <u/>
      </rPr>
      <t>https://tpb.vn/tin-tuc/tin-tpbank/tpbank-duoc-cong-nhan-doanh-nghiep-dat-chuan-van-hoa-kinh-doanh-tai-viet-nam</t>
    </r>
    <r>
      <rPr>
        <rFont val="Arial"/>
        <sz val="10.0"/>
      </rPr>
      <t xml:space="preserve"> </t>
    </r>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</si>
  <si>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Nhân viên chưa biết chiến lược chuyển đổi số.</t>
  </si>
  <si>
    <t>Nhân viên trong một số bộ phận, đơn vị chức năng ủng hộ chiến lược số của doanh nghiệp.</t>
  </si>
  <si>
    <t>Nhân viên ở hầu hết các bộ phận, đơn vị chức năng tin tưởng vào chiến lược số của doanh nghiệp.</t>
  </si>
  <si>
    <t>Tất cả nhân viên hoàn toàn tin tưởng vào chiến lược số của doanh nghiệp.</t>
  </si>
  <si>
    <t>Tất cả nhân viên hoàn toàn đồng ý với chiến lược số được chia sẻ của doanh nghiệp và các đối tác trong hệ sinh thái của doanh nghiệp.</t>
  </si>
  <si>
    <t>5.1.4</t>
  </si>
  <si>
    <t>Thất bại có kiểm soát</t>
  </si>
  <si>
    <t>Văn hóa chưa khuyến khích sự minh bạch và sự thất bại.</t>
  </si>
  <si>
    <t>Một số bộ phận, đơn vị chức năng có văn hóa cho phép “thất bại trong một giới hạn nhất định” với các cơ chế được áp dụng để giảm thiểu các tác động ảnh hưởng.</t>
  </si>
  <si>
    <t>Hầu hết các bộ phận, đơn vị chức năng có văn hóa cho phép “thất bại trong một giới hạn nhất định” với các cơ chế được áp dụng để giảm thiểu các tác động ảnh hưởng.</t>
  </si>
  <si>
    <t>Toàn bộ doanh nghiệp có văn hóa cho phép “thất bại trong một giới hạn nhất định” với các cơ chế được áp dụng để giảm thiểu các tác động ảnh hưởng.</t>
  </si>
  <si>
    <t>Toàn bộ doanh nghiệp và các đối tác trong hệ sinh thái của doanh nghiệp có văn hóa cho phép “thất bại trong 1 giới hạn nhất định” với các cơ chế được áp dụng để giảm thiểu các tác động ảnh hưởng.</t>
  </si>
  <si>
    <t>5.1.5</t>
  </si>
  <si>
    <t>Cộng tác ảo</t>
  </si>
  <si>
    <t>Chuyển trải nghiệm nhân viên sang nền tảng số cá nhân hóa; có ứng dụng chuyển đổi số nội bộ được VDA vinh danh.</t>
  </si>
  <si>
    <r>
      <rPr>
        <rFont val="Arial"/>
        <color rgb="FF1155CC"/>
        <sz val="10.0"/>
        <u/>
      </rPr>
      <t>https://plo.vn/tpbank-tiep-tuc-la-noi-lam-viec-tot-nhat-chau-a-theo-hr-asia-awards-2023-post745619.html</t>
    </r>
    <r>
      <rPr>
        <rFont val="Arial"/>
        <sz val="10.0"/>
      </rPr>
      <t xml:space="preserve"> ; </t>
    </r>
    <r>
      <rPr>
        <rFont val="Arial"/>
        <color rgb="FF1155CC"/>
        <sz val="10.0"/>
        <u/>
      </rPr>
      <t>https://tpb.vn/tin-tuc/tin-tpbank/tpbank-duoc-vinh-danh-chuyen-doi-so-xuat-sac</t>
    </r>
    <r>
      <rPr>
        <rFont val="Arial"/>
        <sz val="10.0"/>
      </rPr>
      <t xml:space="preserve"> </t>
    </r>
  </si>
  <si>
    <t>Chưa có thông tin riêng về cộng tác ảo.</t>
  </si>
  <si>
    <t>Cộng tác ảo được thực hiện theo sự vụ.</t>
  </si>
  <si>
    <t>Một số bộ phận, đơn vị chức năng có khả năng cho phép cộng tác ảo.</t>
  </si>
  <si>
    <t>Hầu hết các bộ phận, đơn vị chức năng đều có khả năng cộng tác ảo.</t>
  </si>
  <si>
    <t>Toàn bộ doanh nghiệp có khả năng toàn diện cộng tác ảo trong và giữa các bộ phận, đơn vị chức năng.</t>
  </si>
  <si>
    <t>Toàn bộ doanh nghiệp và các đối tác trong hệ sinh thái của doanh nghiệp có khả năng toàn diện cộng tác ảo trong và giữa các bộ phận, đơn vị chức năng.</t>
  </si>
  <si>
    <t>5.1.6</t>
  </si>
  <si>
    <t>Sự hòa nhập</t>
  </si>
  <si>
    <t>HR Asia không nêu nội dung hòa nhập, đa dạng.</t>
  </si>
  <si>
    <t>Các hoạt động thúc đẩy sự hòa nhập trong doanh nghiệp chỉ được thực hiện theo sự vụ.</t>
  </si>
  <si>
    <t>Một số bộ phận, đơn vị chức năng thúc đẩy toàn diện sự hòa nhập.</t>
  </si>
  <si>
    <t>Hầu hết các bộ phận, đơn vị chức năng thúc đẩy toàn diện sự hòa nhập.</t>
  </si>
  <si>
    <t>doanh nghiệp hoàn toàn chấp nhận sự hòa nhập.</t>
  </si>
  <si>
    <t>Doanh nghiệp và các đối tác hệ sinh thái của doanh nghiệp hoàn toàn chấp nhận sự hòa nhập.</t>
  </si>
  <si>
    <t>Quản lý tài năng</t>
  </si>
  <si>
    <t>5.2.1</t>
  </si>
  <si>
    <t>Chính sách đãi ngộ</t>
  </si>
  <si>
    <t>Thù lao trả theo vị trí, chức danh và gắn với mức độ hoàn thành nhiệm vụ; chế độ đãi ngộ nằm trong tiêu chí HR Asia.</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</si>
  <si>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r>
      <rPr>
        <rFont val="Arial"/>
        <color rgb="FF1155CC"/>
        <sz val="10.0"/>
        <u/>
      </rPr>
      <t>https://plo.vn/tpbank-tiep-tuc-la-noi-lam-viec-tot-nhat-chau-a-theo-hr-asia-awards-2023-post745619.html</t>
    </r>
    <r>
      <rPr>
        <rFont val="Arial"/>
        <sz val="10.0"/>
      </rPr>
      <t xml:space="preserve"> </t>
    </r>
  </si>
  <si>
    <t>Chính sách đãi ngộ được áp dụng một cách cứng nhắc và chưa thúc đẩy chiến lược chuyển đổi số.</t>
  </si>
  <si>
    <t>Chính sách đãi ngộ hoàn toàn phù hợp với và được hiển thị để thúc đẩy chiến lược số của một số bộ phận, đơn vị chức năng.</t>
  </si>
  <si>
    <t>Chính sách đãi ngộ hoàn toàn phù hợp và được hiển thị để thúc đẩy chiến lược số của hầu hết các bộ phận, đơn vị chức năng.</t>
  </si>
  <si>
    <t>Chính sách đãi ngộ hoàn toàn phù hợp và được thể hiện để thúc đẩy chiến lược số của doanh nghiệp.</t>
  </si>
  <si>
    <t>Chính sách đãi ngộ hoàn toàn phù hợp và được thể hiện để thúc đẩy chiến lược số của doanh nghiệp và các đối tác trong hệ sinh thái của doanh nghiệp.</t>
  </si>
  <si>
    <t>5.2.2</t>
  </si>
  <si>
    <t>Năng lực cơ bản</t>
  </si>
  <si>
    <t>Tự phát triển nguồn nhân lực CNTT, tăng cơ hội tiếp cận công nghệ mới; tư duy số được nêu là thấm nhuần ở từng cá nhân.</t>
  </si>
  <si>
    <t>Doanh nghiệp chưa có một hồ sơ cấu trúc về năng lực của lực lượng lao động.</t>
  </si>
  <si>
    <t>Một số bộ phận, đơn vị chức năng chưa có một hồ sơ cấu trúc về năng lực của lực lượng lao động của họ.</t>
  </si>
  <si>
    <t>Hầu hết các bộ phận, đơn vị chức năng đã có một hồ sơ cấu trúc về năng lực của lực lượng lao động của họ.</t>
  </si>
  <si>
    <t>Toàn bộ doanh nghiệp có một hồ sơ cấu trúc chính xác về năng lực của lực lượng lao động của mình.</t>
  </si>
  <si>
    <t>Toàn bộ doanh nghiệp và các đối tác trong hệ sinh thái của doanh nghiệp có hồ sơ cấu trúc chính xác về năng lực của lực lượng lao động được chia sẻ.</t>
  </si>
  <si>
    <t>5.2.3</t>
  </si>
  <si>
    <t>Lập kế hoạch phát triển lực lượng lao động</t>
  </si>
  <si>
    <t>Tổng nhân sự 7.959 người cuối 2025 (7.890 năm 2024); nhân sự tăng 4–5% trong khi kinh doanh tăng 30–40%/năm.</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</si>
  <si>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r>
      <rPr>
        <rFont val="Arial"/>
        <color rgb="FF1155CC"/>
        <sz val="10.0"/>
        <u/>
      </rPr>
      <t>https://tpb.vn/tin-tuc/tin-tpbank/trendsetter-nganh-ngan-hang-la-co-tien-phong-dan-dat-cach-mang-ngan-hang-so</t>
    </r>
    <r>
      <rPr>
        <rFont val="Arial"/>
        <sz val="10.0"/>
      </rPr>
      <t xml:space="preserve"> </t>
    </r>
  </si>
  <si>
    <t>24; web</t>
  </si>
  <si>
    <t>Các kỹ năng cần thiết để triển khai chiến lược chuyển đổi số được xác định được thực hiện theo sự vụ.</t>
  </si>
  <si>
    <t>Một số bộ phận có sẵn quy trình xác định các kỹ năng cần thiết để thực hiện chiến lược số.</t>
  </si>
  <si>
    <t>Hầu hết các bộ phận, đơn vị chức năng đều có quy trình hiệu quả để xác định các kỹ năng cần thiết để thực hiện chiến lược số.</t>
  </si>
  <si>
    <t>Toàn bộ doanh nghiệp có sẵn một quy trình hiệu quả để xác định các kỹ năng cần thiết để thực hiện chiến lược số.</t>
  </si>
  <si>
    <t>Toàn bộ doanh nghiệp và các đối tác trong hệ sinh thái của doanh nghiệp có một quy trình hiệu quả để xác định các kỹ năng cần thiết nhằm thực hiện chiến lược số.</t>
  </si>
  <si>
    <t>5.2.4</t>
  </si>
  <si>
    <t>Thu hút nhân tài</t>
  </si>
  <si>
    <t>Nơi làm việc tốt nhất châu Á (HR Asia) 3 năm liên tiếp, điểm 4,5/5 so với trung bình thị trường 3,88; Ủy ban Nhân sự tuyển dụng ngoài và phát triển nội bộ.</t>
  </si>
  <si>
    <r>
      <rPr>
        <rFont val="Arial"/>
        <color rgb="FF1155CC"/>
        <sz val="10.0"/>
        <u/>
      </rPr>
      <t>https://plo.vn/tpbank-tiep-tuc-la-noi-lam-viec-tot-nhat-chau-a-theo-hr-asia-awards-2023-post745619.html</t>
    </r>
    <r>
      <rPr>
        <rFont val="Arial"/>
        <sz val="10.0"/>
      </rPr>
      <t xml:space="preserve"> 
</t>
    </r>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</si>
  <si>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Các kỹ năng cần thiết để doanh nghiệp triển khai chiến lược chuyển đổi số.</t>
  </si>
  <si>
    <t>Một số bộ phận, đơn vị chức năng có sẵn quy trình để đạt các kỹ năng cần thiết để thực hiện chiến lược số.</t>
  </si>
  <si>
    <t>Hầu hết các bộ phận, đơn vị chức năng đều có quy trình hiệu quả để đạt các kỹ năng cần thiết nhằm thực hiện chiến lược số, bao gồm cả việc sử dụng các nguồn lực nhân tài phi truyền thống.</t>
  </si>
  <si>
    <t>Toàn bộ doanh nghiệp có quy trình hiệu quả để đạt các kỹ năng cần thiết nhằm thực hiện chiến lược số, bao gồm cả việc sử dụng các nguồn lực nhân tài phi truyền thống.</t>
  </si>
  <si>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</si>
  <si>
    <t>5.2.5</t>
  </si>
  <si>
    <t>Nhóm tài năng bên ngoài</t>
  </si>
  <si>
    <t>Hàng trăm kỹ sư của công ty đối tác làm việc trực tiếp tại TPBank cùng đội ngũ CNTT nội bộ.</t>
  </si>
  <si>
    <t>Doanh nghiệp chưa nuôi dưỡng nguồn tài năng bên ngoài.</t>
  </si>
  <si>
    <t>Một số bộ phận, đơn vị chức năng đã thiết lập một nhóm tài năng từ những nhân viên tiềm năng.</t>
  </si>
  <si>
    <t>Hầu hết bộ phận, đơn vị chức năng đã thiết lập một nhóm tài năng từ những nhân viên tiềm năng.</t>
  </si>
  <si>
    <t>Toàn bộ doanh nghiệp được coi là một nhà tuyển dụng hấp dẫn với đội ngũ nhân tài tiềm năng đã được thiết lập.</t>
  </si>
  <si>
    <t>Toàn bộ doanh nghiệp và các đối tác trong hệ sinh thái của doanh nghiệp được coi là những nhà tuyển dụng hấp dẫn với đội ngũ nhân tài tiềm năng lâu đời.</t>
  </si>
  <si>
    <t>5.2.6</t>
  </si>
  <si>
    <t>Phát triển tài năng</t>
  </si>
  <si>
    <t>Đào tạo nhân tài phân tích dữ liệu, tự phát triển nhân lực CNTT, tạo cơ hội tiếp cận công nghệ mới.</t>
  </si>
  <si>
    <t>Việc phát triển tài năng chỉ được thực hiện theo sự vụ.</t>
  </si>
  <si>
    <t>Một số bộ phận, đơn vị chức năng có quy trình phát triển nhân tài.</t>
  </si>
  <si>
    <t>Hầu hết các bộ phận, đơn vị chức năng đều có quy trình phát triển nhân tài hiệu quả.</t>
  </si>
  <si>
    <t>Toàn bộ doanh nghiệp có quy trình phát triển nhân tài hiệu quả.</t>
  </si>
  <si>
    <t>Toàn bộ doanh nghiệp và các đối tác trong hệ sinh thái của doanh nghiệp có một quy trình hiệu quả để phát triển tài năng.</t>
  </si>
  <si>
    <t>5.2.7</t>
  </si>
  <si>
    <t>Học tập trên môi trường số</t>
  </si>
  <si>
    <t>Ủy ban Nhân sự triển khai đào tạo e-Learning kết hợp đào tạo trực tiếp, đẩy mạnh đào tạo nội bộ.</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</si>
  <si>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</si>
  <si>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Học tập trên môi trường số chỉ được thực hiện theo sự vụ.</t>
  </si>
  <si>
    <t>Học tập trên môi trường số đang mang lại giá trị kinh doanh ở một số bộ phận, đơn vị chức năng.</t>
  </si>
  <si>
    <t>Học tập trên môi trường số đang mang lại giá trị kinh doanh trên hầu hết các bộ phận, đơn vị chức năng.</t>
  </si>
  <si>
    <t>Học tập trên môi trường số đang mang lại giá trị kinh doanh rõ ràng trong doanh nghiệp.</t>
  </si>
  <si>
    <t>Học tập trên môi trường số đang mang lại giá trị kinh doanh rõ ràng trong và trên toàn doanh nghiệp cũng như các đối tác trong hệ sinh thái của doanh nghiệp.</t>
  </si>
  <si>
    <t>5.2.8</t>
  </si>
  <si>
    <t>Sự gắn kết của người lao động</t>
  </si>
  <si>
    <t>HR Asia chấm 4,5/5 (trung bình thị trường 3,88) dựa trên khảo sát nhân viên 3 vòng; ghi nhận hoạt động gắn kết nội bộ.</t>
  </si>
  <si>
    <t>Sự gắn kết của người lao động chưa được đo lường.</t>
  </si>
  <si>
    <t>Doanh nghiệp đang bắt đầu đánh giá sự gắn kết của người lao động.</t>
  </si>
  <si>
    <t>Doanh nghiệp thường xuyên đánh giá sự gắn kết của người lao động.</t>
  </si>
  <si>
    <t>Doanh nghiệp thường xuyên đánh giá sự gắn kết của người lao động và tạo ra các kế hoạch hành động nhằm thúc đẩy cải tiến sự gắn kết.</t>
  </si>
  <si>
    <t>Doanh nghiệp và các đối tác trong hệ sinh thái của doanh nghiệp thường xuyên đánh giá - Mức độ gắn kết của người lao động và lập kế hoạch hành động nhằm thúc đẩy cải tiến sự gắn kết.</t>
  </si>
  <si>
    <t>Hỗ trợ môi trường làm việc</t>
  </si>
  <si>
    <t>5.3.1</t>
  </si>
  <si>
    <t>Môi trường thúc đẩy năng suất</t>
  </si>
  <si>
    <t>Nhân sự tăng 4–5% trong khi kinh doanh tăng 30–40%/năm; RPA và số hóa quy trình giúp nâng năng suất lao động.</t>
  </si>
  <si>
    <r>
      <rPr>
        <rFont val="Arial"/>
        <color rgb="FF1155CC"/>
        <sz val="10.0"/>
        <u/>
      </rPr>
      <t>https://tpb.vn/tin-tuc/tin-tpbank/trendsetter-nganh-ngan-hang-la-co-tien-phong-dan-dat-cach-mang-ngan-hang-so</t>
    </r>
    <r>
      <rPr>
        <rFont val="Arial"/>
        <sz val="10.0"/>
      </rPr>
      <t xml:space="preserve"> 
</t>
    </r>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</si>
  <si>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Môi trường làm việc chưa chú trọng xem xét thúc đẩy tăng năng suất.</t>
  </si>
  <si>
    <t>Một số bộ phận, đơn vị chức năng đã tạo ra môi trường làm việc thúc đẩy tăng năng suất.</t>
  </si>
  <si>
    <t>Hầu hết các bộ phận, đơn vị chức năng đã tạo ra môi trường làm việc thúc đẩy tăng năng suất.</t>
  </si>
  <si>
    <t>Toàn bộ doanh nghiệp đã tạo ra những môi trường làm việc thúc đẩy tăng năng suất.</t>
  </si>
  <si>
    <t>Toàn bộ doanh nghiệp và các đối tác trong hệ sinh thái của doanh nghiệp đã cùng nhau tạo ra những môi trường làm việc thúc đẩy năng suất một cách tăng.</t>
  </si>
  <si>
    <t>5.3.2</t>
  </si>
  <si>
    <t>Môi trường thúc đẩy đổi mới sáng tạo</t>
  </si>
  <si>
    <t>“Sáng tạo” là giá trị cốt lõi; ghi nhận tinh thần đổi mới sáng tạo số trong tập thể.</t>
  </si>
  <si>
    <r>
      <rPr>
        <rFont val="Arial"/>
        <color rgb="FF1155CC"/>
        <sz val="10.0"/>
        <u/>
      </rPr>
      <t>https://tpb.vn/tin-tuc/tin-tpbank/tpbank-duoc-cong-nhan-doanh-nghiep-dat-chuan-van-hoa-kinh-doanh-tai-viet-nam</t>
    </r>
    <r>
      <rPr>
        <rFont val="Arial"/>
        <sz val="10.0"/>
      </rPr>
      <t xml:space="preserve"> 
 </t>
    </r>
    <r>
      <rPr>
        <rFont val="Arial"/>
        <color rgb="FF1155CC"/>
        <sz val="10.0"/>
        <u/>
      </rPr>
      <t>https://plo.vn/tpbank-tiep-tuc-la-noi-lam-viec-tot-nhat-chau-a-theo-hr-asia-awards-2023-post745619.html</t>
    </r>
    <r>
      <rPr>
        <rFont val="Arial"/>
        <sz val="10.0"/>
      </rPr>
      <t xml:space="preserve"> </t>
    </r>
  </si>
  <si>
    <t>Nơi làm việc chưa chú trọng xem xét thúc đẩy đổi mới sáng tạo.</t>
  </si>
  <si>
    <t>Một số bộ phận, đơn vị chức năng đã tạo ra môi trường làm việc thúc đẩy đổi mới một cách hiệu quả.</t>
  </si>
  <si>
    <t>Hầu hết các bộ phận, đơn vị chức năng đã tạo ra môi trường làm việc thúc đẩy sự đổi mới một cách hiệu quả.</t>
  </si>
  <si>
    <t>Toàn bộ doanh nghiệp đã tạo ra những môi trường làm việc thúc đẩy sự đổi mới một cách hiệu quả.</t>
  </si>
  <si>
    <t>Toàn bộ doanh nghiệp và các đối tác trong hệ sinh thái của doanh nghiệp đã cùng nhau tạo ra những môi trường làm việc thúc đẩy sự đổi mới một cách hiệu quả.</t>
  </si>
  <si>
    <t>5.3.3</t>
  </si>
  <si>
    <t>Công cụ thúc đẩy tăng năng suất</t>
  </si>
  <si>
    <t>Gần 300 robot RPA cùng phân tích dữ liệu và AI để tự động hóa quy trình, giảm chi phí.</t>
  </si>
  <si>
    <r>
      <rPr>
        <rFont val="Arial"/>
        <color rgb="FF1155CC"/>
        <sz val="10.0"/>
        <u/>
      </rPr>
      <t>https://tpb.vn/tin-tuc/tin-tpbank/tpbank-duoc-vinh-danh-chuyen-doi-so-xuat-sac</t>
    </r>
    <r>
      <rPr>
        <rFont val="Arial"/>
        <sz val="10.0"/>
      </rPr>
      <t xml:space="preserve"> </t>
    </r>
    <r>
      <rPr>
        <rFont val="Arial"/>
        <color rgb="FF1155CC"/>
        <sz val="10.0"/>
        <u/>
      </rPr>
      <t>https://tpb.vn/tin-tuc/tin-tpbank/chien-luoc-kien-tao-nen-nhung-man-but-toc-cua-tpbank</t>
    </r>
    <r>
      <rPr>
        <rFont val="Arial"/>
        <sz val="10.0"/>
      </rPr>
      <t xml:space="preserve"> </t>
    </r>
  </si>
  <si>
    <t>Công cụ chưa có sẵn để thúc đẩy tăng năng suất.</t>
  </si>
  <si>
    <t>Một số bộ phận, đơn vị chức năng có một bộ công cụ toàn diện giúp thúc đẩy tăng năng suất.</t>
  </si>
  <si>
    <t>Hầu hết các bộ phận, đơn vị chức năng đều có một bộ công cụ toàn diện giúp thúc đẩy tăng năng suất.</t>
  </si>
  <si>
    <t>Toàn bộ doanh nghiệp có một bộ công cụ toàn diện giúp thúc đẩy tăng năng suất.</t>
  </si>
  <si>
    <t>Toàn bộ doanh nghiệp và các đối tác trong hệ sinh thái của doanh nghiệp có một bộ công cụ toàn diện giúp thúc đẩy năng suất một cách tăng.</t>
  </si>
  <si>
    <t>5.3.4</t>
  </si>
  <si>
    <t>Công cụ thúc đẩy đổi mới sáng tạo</t>
  </si>
  <si>
    <t>Doanh nghiệp chưa có công cụ để thúc đẩy đổi mới sáng tạo.</t>
  </si>
  <si>
    <t>Một số bộ phận, đơn vị chức năng có một bộ công cụ toàn diện giúp thúc đẩy đổi mới một cách hiệu quả.</t>
  </si>
  <si>
    <t>Hầu hết các bộ phận, đơn vị chức năng đều có một bộ công cụ toàn diện giúp thúc đẩy đổi mới một cách hiệu quả.</t>
  </si>
  <si>
    <t>Toàn bộ doanh nghiệp có một bộ công cụ toàn diện giúp thúc đẩy đổi mới một cách hiệu quả</t>
  </si>
  <si>
    <t>Toàn bộ doanh nghiệp và các đối tác trong hệ sinh thái của mình có một bộ công cụ toàn diện giúp thúc đẩy đổi mới một cách hiệu quả.</t>
  </si>
  <si>
    <t>5.3.5</t>
  </si>
  <si>
    <t>Chính sách thúc đẩy tăng năng suất</t>
  </si>
  <si>
    <t>Ngân hàng liên tục tối ưu quy trình, đẩy mạnh số hóa và nâng cao năng suất lao động theo định hướng của Ban điều hành.</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</si>
  <si>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</si>
  <si>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Chính sách làm việc chưa thúc đẩy tăng năng suất.</t>
  </si>
  <si>
    <t>Một số bộ phận, đơn vị chức năng có các chính sách làm việc giúp thúc đẩy tăng năng suất.</t>
  </si>
  <si>
    <t>Hầu hết các bộ phận, đơn vị chức năng đều duy trì các chính sách làm việc nhằm thúc đẩy tăng năng suất.</t>
  </si>
  <si>
    <t>Toàn bộ doanh nghiệp duy trì các chính sách làm việc thúc đẩy tăng năng suất.</t>
  </si>
  <si>
    <t>Toàn bộ doanh nghiệp và các đối tác trong hệ sinh thái của mình cùng nhau duy trì các chính sách làm việc nhằm thúc đẩy năng suất một cách tăng.</t>
  </si>
  <si>
    <t>5.3.6</t>
  </si>
  <si>
    <t>Chính sách thúc đẩy đổi mới sáng tạo</t>
  </si>
  <si>
    <t>Chính sách làm việc chưa thúc đẩy đổi mới sáng tạo.</t>
  </si>
  <si>
    <t>Một số bộ phận, đơn vị chức năng có các chính sách làm việc giúp thúc đẩy đổi mới một cách hiệu quả.</t>
  </si>
  <si>
    <t>Hầu hết các bộ phận, đơn vị chức năng duy trì các chính sách làm việc nhằm thúc đẩy đổi mới một cách hiệu quả.</t>
  </si>
  <si>
    <t>Toàn bộ doanh nghiệp duy trì các chính sách làm việc thúc đẩy hiệu quả sự đổi mới.</t>
  </si>
  <si>
    <t>Toàn bộ doanh nghiệp và các đối tác trong hệ sinh thái của mình cùng nhau duy trì các chính sách đang hoạt động nhằm thúc đẩy đổi mới một cách hiệu quả.</t>
  </si>
  <si>
    <t>5.3.7</t>
  </si>
  <si>
    <t>Nắm bắt tri thức</t>
  </si>
  <si>
    <t>Nắm bắt tri thức được thực hiện theo sự vụ.</t>
  </si>
  <si>
    <t>Một số bộ phận, đơn vị chức năng nắm bắt tri thức hiệu quả.</t>
  </si>
  <si>
    <t>Hầu hết các bộ phận, đơn vị chức năng nắm bắt tri thức một cách hiệu quả.</t>
  </si>
  <si>
    <t>Doanh nghiệp nắm bắt hiệu quả tri thức trong toàn doanh nghiệp.</t>
  </si>
  <si>
    <t>Doanh nghiệp và các đối tác trong hệ sinh thái của doanh nghiệp nắm bắt tri thức một cách hiệu quả trên toàn hệ sinh thái.</t>
  </si>
  <si>
    <t>5.3.8</t>
  </si>
  <si>
    <t>Chia sẻ tri thức</t>
  </si>
  <si>
    <t>Chia sẻ tri thức được thực hiện theo sự vụ.</t>
  </si>
  <si>
    <t>Một số bộ phận, đơn vị chức năng chia sẻ tri thức một cách hiệu quả.</t>
  </si>
  <si>
    <t>Hầu hết các bộ phận, đơn vị chức năng chia sẻ tri thức một cách hiệu quả.</t>
  </si>
  <si>
    <t>Doanh nghiệp chia sẻ tri thức một cách hiệu quả trong toàn doanh nghiệp.</t>
  </si>
  <si>
    <t>Doanh nghiệp và các đối tác trong hệ sinh thái của doanh nghiệp chia sẻ tri thức một cách hiệu quả trên toàn hệ sinh thái.</t>
  </si>
  <si>
    <t>Quản trị dữ liệu</t>
  </si>
  <si>
    <t>6.1.1</t>
  </si>
  <si>
    <t>Quản lý siêu dữ liệu</t>
  </si>
  <si>
    <t>Có ít siêu dữ liệu được thực hiện theo sự vụ hoặc chưa xác định.</t>
  </si>
  <si>
    <t>Siêu dữ liệu bắt đầu chuẩn hóa phân loại trong một số bộ phận, đơn vị chức năng.</t>
  </si>
  <si>
    <t>Siêu dữ liệu được định nghĩa sử dụng phân loại theo chức năng.</t>
  </si>
  <si>
    <t>Siêu dữ liệu liên tục được tối ưu hóa trong doanh nghiệp.</t>
  </si>
  <si>
    <t>Siêu dữ liệu liên tục được tối ưu hóa trong doanh nghiệp và các đối tác trong hệ sinh thái của doanh nghiệp.</t>
  </si>
  <si>
    <t>6.1.2</t>
  </si>
  <si>
    <t>Quản lý dữ liệu</t>
  </si>
  <si>
    <t>Chuẩn hóa, tích hợp dữ liệu toàn hệ thống; quy trình “dân chủ hóa dữ liệu”, nhập liệu chính xác là một phần văn hóa dữ liệu.</t>
  </si>
  <si>
    <t>https://tapchikinhtetaichinh.vn/du-lieu-tro-thanh-tai-san-song-tai-tpbank.html</t>
  </si>
  <si>
    <t>Việc quản lý dữ liệu chỉ được thực hiện theo sự vụ.</t>
  </si>
  <si>
    <t>Bắt đầu có nhân sự quản lý dữ liệu và chịu trách nhiệm đối với một số tài sản dữ liệu của doanh nghiệp.</t>
  </si>
  <si>
    <t>Có nhân sự quản lý dữ liệu và chịu trách nhiệm đối với hầu hết các tài sản dữ liệu của doanh nghiệp.</t>
  </si>
  <si>
    <t>Có nhân sự quản lý dữ liệu và chịu trách nhiệm hoàn toàn đối với tất cả tài sản dữ liệu của doanh nghiệp.</t>
  </si>
  <si>
    <t>Có nhân sự quản lý dữ liệu và chịu trách nhiệm hoàn toàn đối với tất cả tài sản dữ liệu của doanh nghiệp và các đối tác trong hệ sinh thái của doanh nghiệp.</t>
  </si>
  <si>
    <t>6.1.3</t>
  </si>
  <si>
    <t>Quản lý dữ liệu chủ</t>
  </si>
  <si>
    <t>Bio Center là kho dữ liệu sinh trắc học/công dân dùng chung cho mọi kênh, hỗ trợ eKYC.</t>
  </si>
  <si>
    <t>https://nhadautu.vn/loat-cong-nghe-di-dau-bao-chung-cho-vi-the-ngan-hang-so-hang-dau-cua-tpbank-d96774.html</t>
  </si>
  <si>
    <t>Quản lý dữ liệu chủ chỉ được thực hiện theo sự vụ.</t>
  </si>
  <si>
    <t>Quản lý dữ liệu chủ đang bắt đầu được áp dụng trong một số bộ phận, đơn vị chức năng.</t>
  </si>
  <si>
    <t>Quản lý dữ liệu chủ được xác định trong các khu vực chức năng.</t>
  </si>
  <si>
    <t>Quản lý dữ liệu chủ được tối ưu hóa nhất quán trong toàn doanh nghiệp.</t>
  </si>
  <si>
    <t>Quản lý dữ liệu chủ được tối ưu hóa nhất quán cho các đối tác trong hệ sinh thái của doanh nghiệp.</t>
  </si>
  <si>
    <t>6.1.4</t>
  </si>
  <si>
    <t>Quản lý bảo mật dữ liệu</t>
  </si>
  <si>
    <t>Dữ liệu khách hàng nhạy cảm được mã hóa, phân tầng truy cập và giám sát xuyên suốt; có ISO 27001, PCI DSS.</t>
  </si>
  <si>
    <r>
      <rPr>
        <rFont val="Arial"/>
        <color rgb="FF1155CC"/>
        <sz val="10.0"/>
        <u/>
      </rPr>
      <t>https://tapchikinhtetaichinh.vn/du-lieu-tro-thanh-tai-san-song-tai-tpbank.html</t>
    </r>
    <r>
      <rPr>
        <rFont val="Arial"/>
        <sz val="10.0"/>
      </rPr>
      <t xml:space="preserve"> 
 </t>
    </r>
    <r>
      <rPr>
        <rFont val="Arial"/>
        <color rgb="FF1155CC"/>
        <sz val="10.0"/>
        <u/>
      </rPr>
      <t>https://vietnamfinance.vn/cong-nghe-xin-tpbank-di-dau-ve-ap-dung-tieu-chuan-quoc-te-trong-bao-dam-kinh-doanh-lien-tuc-d87635.html</t>
    </r>
    <r>
      <rPr>
        <rFont val="Arial"/>
        <sz val="10.0"/>
      </rPr>
      <t xml:space="preserve"> </t>
    </r>
  </si>
  <si>
    <t>Quản lý bảo mật dữ liệu chỉ được thực hiện theo sự vụ.</t>
  </si>
  <si>
    <t>Quản lý bảo mật dữ liệu đang bắt đầu được xác định ở một số bộ phận, đơn vị chức năng.</t>
  </si>
  <si>
    <t>Quản lý bảo mật dữ liệu được tích hợp với yêu cầu quy định về bảo vệ dữ liệu và quyền riêng tư và được sử dụng trong một số khu vực chức năng.</t>
  </si>
  <si>
    <t>Quản lý bảo mật dữ liệu được tích hợp với yêu cầu quy định về bảo vệ dữ liệu và quyền riêng tư và được sử dụng trong toàn doanh nghiệp.</t>
  </si>
  <si>
    <t>Quản lý bảo mật dữ liệu được tích hợp với yêu cầu quy định về bảo vệ dữ liệu và quyền riêng tư, đồng thời được sử dụng giữa các đối tác trong hệ sinh thái của doanh nghiệp.</t>
  </si>
  <si>
    <t>6.1.5</t>
  </si>
  <si>
    <t>Quản lý chính sách dữ liệu</t>
  </si>
  <si>
    <t>Quy trình khai thác dữ liệu cập nhật theo hướng minh bạch, phù hợp quy định bảo vệ dữ liệu cá nhân; có trang chính sách bảo mật thông tin khách hàng.</t>
  </si>
  <si>
    <r>
      <rPr>
        <rFont val="Arial"/>
        <color rgb="FF1155CC"/>
        <sz val="10.0"/>
        <u/>
      </rPr>
      <t>https://tapchikinhtetaichinh.vn/du-lieu-tro-thanh-tai-san-song-tai-tpbank.html</t>
    </r>
    <r>
      <rPr>
        <rFont val="Arial"/>
        <sz val="10.0"/>
      </rPr>
      <t xml:space="preserve">  </t>
    </r>
    <r>
      <rPr>
        <rFont val="Arial"/>
        <color rgb="FF1155CC"/>
        <sz val="10.0"/>
        <u/>
      </rPr>
      <t>https://tpb.vn/bao-mat-thong-tin-khach-hang</t>
    </r>
    <r>
      <rPr>
        <rFont val="Arial"/>
        <sz val="10.0"/>
      </rPr>
      <t xml:space="preserve"> </t>
    </r>
  </si>
  <si>
    <t>Doanh nghiệp chưa có chính sách dữ liệu chính thức.</t>
  </si>
  <si>
    <t>Doanh nghiệp bắt đầu xây dựng chính sách dữ liệu.</t>
  </si>
  <si>
    <t>Chính sách dữ liệu theo bộ phận, đơn vị chức năng được áp dụng.</t>
  </si>
  <si>
    <t>Chính sách dữ liệu chung được sử dụng trong toàn doanh nghiệp.</t>
  </si>
  <si>
    <t>Chính sách dữ liệu chung được sử dụng trên các đối tác trong hệ sinh thái của doanh nghiệp.</t>
  </si>
  <si>
    <t>6.1.6</t>
  </si>
  <si>
    <t>Chiến lược dữ liệu</t>
  </si>
  <si>
    <t>Data-First là một trong ba trụ cột công nghệ; mục tiêu dữ liệu “đúng - đủ - sạch - sống” để phục vụ ra quyết định.</t>
  </si>
  <si>
    <r>
      <rPr>
        <rFont val="Arial"/>
        <color rgb="FF1155CC"/>
        <sz val="10.0"/>
        <u/>
      </rPr>
      <t>https://tpb.vn/tin-tuc/tin-tpbank/tpbank-tien-phong-data-first-bien-du-lieu-thanh-loi-the-canh-tranh</t>
    </r>
    <r>
      <rPr>
        <rFont val="Arial"/>
        <sz val="10.0"/>
      </rPr>
      <t xml:space="preserve"> </t>
    </r>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</si>
  <si>
    <t>5 (BCTN); web</t>
  </si>
  <si>
    <t>Số trang là số in trong BCTN 2025 theo bản trích đọc; cần đối chiếu lại trên file PDF.</t>
  </si>
  <si>
    <t>Doanh nghiệp chưa có chiến lược dữ liệu.</t>
  </si>
  <si>
    <t>Một số bộ phận, đơn vị chức năng có một chiến lược dữ liệu riêng.</t>
  </si>
  <si>
    <t>Mỗi bộ phận, đơn vị chức năng có một chiến lược dữ liệu xác định được sử dụng với kết quả kinh doanh có thể đo lường được.</t>
  </si>
  <si>
    <t>Doanh nghiệp có một chiến lược dữ liệu chung được xác định rõ ràng được doanh nghiệp sử dụng với kết quả kinh doanh có thể đo lường được.</t>
  </si>
  <si>
    <t>Doanh nghiệp có một chiến lược dữ liệu chung được xác định rõ ràng được sử dụng bởi doanh nghiệp và các đối tác trong hệ sinh thái của doanh nghiệp với kết quả kinh doanh có thể đo lường được.</t>
  </si>
  <si>
    <t>6.1.7</t>
  </si>
  <si>
    <t>Tổ chức và vai trò</t>
  </si>
  <si>
    <t>Nhân viên được hướng dẫn dữ liệu nhập là tài nguyên chung; phân quyền cho khối kinh doanh, vận hành, kiểm soát nội bộ.</t>
  </si>
  <si>
    <t>Chưa thấy nêu rõ vai trò như CDO/data steward.</t>
  </si>
  <si>
    <t>Chưa xác định được vai trò cụ thể trong doanh nghiệp để quản lý dữ liệu.</t>
  </si>
  <si>
    <t>Một số vai trò quản lý dữ liệu đã được xác định.</t>
  </si>
  <si>
    <t>Các vai trò quản lý dữ liệu đã được thực hiện.</t>
  </si>
  <si>
    <t>Vai trò quản lý dữ liệu toàn diện được thực hiện trên toàn doanh nghiệp.</t>
  </si>
  <si>
    <t>Các vai trò quản lý dữ liệu toàn diện được triển khai trên toàn doanh nghiệp và các đối tác trong hệ sinh thái của doanh nghiệp.</t>
  </si>
  <si>
    <t>6.1.8</t>
  </si>
  <si>
    <t>Quản lý quyền riêng tư dữ liệu</t>
  </si>
  <si>
    <t>Có chính sách bảo mật thông tin khách hàng; dữ liệu nhạy cảm mã hóa và phân quyền; khai thác theo quy định bảo vệ dữ liệu cá nhân.</t>
  </si>
  <si>
    <r>
      <rPr>
        <rFont val="Arial"/>
        <color rgb="FF1155CC"/>
        <sz val="10.0"/>
        <u/>
      </rPr>
      <t>https://tpb.vn/bao-mat-thong-tin-khach-hang</t>
    </r>
    <r>
      <rPr>
        <rFont val="Arial"/>
        <sz val="10.0"/>
      </rPr>
      <t xml:space="preserve"> 
</t>
    </r>
    <r>
      <rPr>
        <rFont val="Arial"/>
        <color rgb="FF1155CC"/>
        <sz val="10.0"/>
        <u/>
      </rPr>
      <t>https://tapchikinhtetaichinh.vn/du-lieu-tro-thanh-tai-san-song-tai-tpbank.html</t>
    </r>
    <r>
      <rPr>
        <rFont val="Arial"/>
        <sz val="10.0"/>
      </rPr>
      <t xml:space="preserve"> </t>
    </r>
  </si>
  <si>
    <t>Quản lý quyền riêng tư dữ liệu được thực hiện theo sự vụ.</t>
  </si>
  <si>
    <t>Quản lý quyền riêng tư dữ liệu đang bắt đầu được xác định ở một số bộ phận, đơn vị chức năng.</t>
  </si>
  <si>
    <t>Quản lý quyền riêng tư dữ liệu phù hợp với các yêu cầu quy định về bảo vệ dữ liệu và quyền riêng tư và được sử dụng hiệu quả trong một số lĩnh vực chức năng.</t>
  </si>
  <si>
    <t>Quản lý quyền riêng tư dữ liệu phù hợp với các yêu cầu quy định về bảo vệ dữ liệu và quyền riêng tư và được sử dụng hiệu quả trong toàn doanh nghiệp.</t>
  </si>
  <si>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</si>
  <si>
    <t>Kỹ thuật dữ liệu</t>
  </si>
  <si>
    <t>6.2.1</t>
  </si>
  <si>
    <t>Mô hình hoá dữ liệu</t>
  </si>
  <si>
    <t>Dữ liệu sử dụng bởi doanh nghiệp chưa được xác định và phân loại.</t>
  </si>
  <si>
    <t>Dữ liệu sử dụng bởi một số bộ phận, đơn vị chức năng được xác định và phân loại thành nhiều mô hình dữ liệu.</t>
  </si>
  <si>
    <t>Dữ liệu sử dụng trong hầu hết bộ phận, đơn vị chức năng được xác định và phân loại thành nhiều mô hình dữ liệu.</t>
  </si>
  <si>
    <t>Dữ liệu toàn doanh nghiệp sử dụng được xác định và phân loại thành một mô hình dữ liệu chung.</t>
  </si>
  <si>
    <t>Dữ liệu sử dụng bởi doanh nghiệp và các đối tác trong hệ sinh thái của doanh nghiệp được xác định và phân loại thành một mô hình dữ liệu chung.</t>
  </si>
  <si>
    <t>6.2.2</t>
  </si>
  <si>
    <t>Lưu trữ dữ liệu</t>
  </si>
  <si>
    <t>Làm giàu kho dữ liệu theo thời gian thực; Cloud Ready; trung tâm dữ liệu dự phòng Active-Active.</t>
  </si>
  <si>
    <r>
      <rPr>
        <rFont val="Arial"/>
        <color rgb="FF1155CC"/>
        <sz val="10.0"/>
        <u/>
      </rPr>
      <t>https://tapchikinhtetaichinh.vn/du-lieu-tro-thanh-tai-san-song-tai-tpbank.html</t>
    </r>
    <r>
      <rPr>
        <rFont val="Arial"/>
        <sz val="10.0"/>
      </rPr>
      <t xml:space="preserve"> 
</t>
    </r>
    <r>
      <rPr>
        <rFont val="Arial"/>
        <color rgb="FF1155CC"/>
        <sz val="10.0"/>
        <u/>
      </rPr>
      <t>https://vietnamfinance.vn/cong-nghe-xin-tpbank-di-dau-ve-ap-dung-tieu-chuan-quoc-te-trong-bao-dam-kinh-doanh-lien-tuc-d87635.html</t>
    </r>
    <r>
      <rPr>
        <rFont val="Arial"/>
        <sz val="10.0"/>
      </rPr>
      <t xml:space="preserve"> </t>
    </r>
  </si>
  <si>
    <t>Lưu trữ, bảo tồn và xóa dữ liệu được thực hiện theo sự vụ.</t>
  </si>
  <si>
    <t>Một số thao tác xóa và lưu trữ dữ liệu được kiểm soát ở một số bộ phận, đơn vị chức năng.</t>
  </si>
  <si>
    <t>Việc xóa và lưu trữ dữ liệu được kiểm soát trong các bộ phận, đơn vị chức năng.</t>
  </si>
  <si>
    <t>Việc xóa và lưu trữ dữ liệu được kiểm soát tối ưu trong toàn doanh nghiệp.</t>
  </si>
  <si>
    <t>Lưu trữ, xóa và lưu trữ được kiểm soát tối ưu trong toàn doanh nghiệp và các đối tác trong hệ sinh thái của doanh nghiệp.</t>
  </si>
  <si>
    <t>6.2.3</t>
  </si>
  <si>
    <t>Khả năng truy cập dữ liệu</t>
  </si>
  <si>
    <t>Phân quyền truy cập dữ liệu theo bộ phận; Bio Center cho phép dùng sinh trắc học một lần trên mọi kênh; Open API chia sẻ dữ liệu với đối tác.</t>
  </si>
  <si>
    <r>
      <rPr>
        <rFont val="Arial"/>
        <color rgb="FF1155CC"/>
        <sz val="10.0"/>
        <u/>
      </rPr>
      <t>https://tapchikinhtetaichinh.vn/du-lieu-tro-thanh-tai-san-song-tai-tpbank.html</t>
    </r>
    <r>
      <rPr>
        <rFont val="Arial"/>
        <sz val="10.0"/>
      </rPr>
      <t xml:space="preserve"> 
 </t>
    </r>
    <r>
      <rPr>
        <rFont val="Arial"/>
        <color rgb="FF1155CC"/>
        <sz val="10.0"/>
        <u/>
      </rPr>
      <t>https://nhadautu.vn/loat-cong-nghe-di-dau-bao-chung-cho-vi-the-ngan-hang-so-hang-dau-cua-tpbank-d96774.html</t>
    </r>
    <r>
      <rPr>
        <rFont val="Arial"/>
        <sz val="10.0"/>
      </rPr>
      <t xml:space="preserve"> </t>
    </r>
  </si>
  <si>
    <t>Khả năng truy cập dữ liệu bị hạn chế.</t>
  </si>
  <si>
    <t>Dữ liệu có thể được truy cập bởi một số bộ phận, đơn vị chức năng.</t>
  </si>
  <si>
    <t>Dữ liệu cần thiết luôn có thể được truy cập bởi các bộ phận, đơn vị chức năng.</t>
  </si>
  <si>
    <t>Dữ liệu cần thiết luôn có thể được truy cập bởi người dùng được doanh nghiệp cấp quyền.</t>
  </si>
  <si>
    <t>Dữ liệu cần thiết luôn có thể được truy cập bởi người dùng được phê duyệt cho doanh nghiệp và đối tác của hệ sinh thái của doanh nghiệp.</t>
  </si>
  <si>
    <t>6.2.4</t>
  </si>
  <si>
    <t>Quản lý vòng đời dữ liệu</t>
  </si>
  <si>
    <t>Quản lý vòng đời dữ liệu được thực hiện theo sự vụ.</t>
  </si>
  <si>
    <t>Quản lý vòng đời dữ liệu được áp dụng ở một số bộ phận, đơn vị chức năng.</t>
  </si>
  <si>
    <t>Quản lý vòng đời dữ liệu được áp dụng nhất quán trong các bộ phận, đơn vị chức năng.</t>
  </si>
  <si>
    <t>Quản lý vòng đời dữ liệu được áp dụng nhất quán trong toàn doanh nghiệp.</t>
  </si>
  <si>
    <t>Quản lý vòng đời dữ liệu được áp dụng nhất quán trong toàn doanh nghiệp và các đối tác trong hệ sinh thái của doanh nghiệp.</t>
  </si>
  <si>
    <t>6.2.5</t>
  </si>
  <si>
    <t>Thu thập dữ liệu</t>
  </si>
  <si>
    <t>eKYC, sinh trắc học, kết nối CSDL quốc gia về dân cư; 80% khách mới mở tài khoản qua kênh số; thu thập dữ liệu từ LiveBank, app.</t>
  </si>
  <si>
    <r>
      <rPr>
        <rFont val="Arial"/>
        <color rgb="FF1155CC"/>
        <sz val="10.0"/>
        <u/>
      </rPr>
      <t>https://tpb.vn/tin-tuc/tin-tpbank/trendsetter-nganh-ngan-hang-la-co-tien-phong-dan-dat-cach-mang-ngan-hang-so</t>
    </r>
    <r>
      <rPr>
        <rFont val="Arial"/>
        <sz val="10.0"/>
      </rPr>
      <t xml:space="preserve"> 
 </t>
    </r>
    <r>
      <rPr>
        <rFont val="Arial"/>
        <color rgb="FF1155CC"/>
        <sz val="10.0"/>
        <u/>
      </rPr>
      <t>https://nhadautu.vn/loat-cong-nghe-di-dau-bao-chung-cho-vi-the-ngan-hang-so-hang-dau-cua-tpbank-d96774.html</t>
    </r>
    <r>
      <rPr>
        <rFont val="Arial"/>
        <sz val="10.0"/>
      </rPr>
      <t xml:space="preserve"> </t>
    </r>
  </si>
  <si>
    <t>Dữ liệu được thu thập được thực hiện theo sự vụ.</t>
  </si>
  <si>
    <t>Việc thu thập dữ liệu được thực hiện nhất quán ở một số bộ phận, đơn vị chức năng.</t>
  </si>
  <si>
    <t>Thu thập dữ liệu được tối ưu hóa trong các bộ phận, đơn vị chức năng.</t>
  </si>
  <si>
    <t>Thu thập dữ liệu được tối ưu hóa trên toàn doanh nghiệp.</t>
  </si>
  <si>
    <t>Việc thu thập dữ liệu được tối ưu hóa trên toàn doanh nghiệp và các đối tác trong hệ sinh thái.</t>
  </si>
  <si>
    <t>6.2.6</t>
  </si>
  <si>
    <t>Đảm bảo tính toàn vẹn dữ liệu</t>
  </si>
  <si>
    <t>Tiêu chí dữ liệu “đúng - đủ - sạch - sống”; chuẩn hóa dữ liệu toàn hệ thống; quy trình không giấy tờ nhằm bảo vệ toàn vẹn dữ liệu.</t>
  </si>
  <si>
    <r>
      <rPr>
        <rFont val="Arial"/>
        <color rgb="FF1155CC"/>
        <sz val="10.0"/>
        <u/>
      </rPr>
      <t>https://tpb.vn/wps/wcm/connect/71611b1e-e466-4eb5-a468-1d9f33d0df09/BCTN+2026+TV+21.4+VIEW+%281%29.pdf?MOD=AJPERES&amp;CONVERT_TO=url&amp;CACHEID=ROOTWORKSPACE-71611b1e-e466-4eb5-a468-1d9f33d0df09-pSU5qGp</t>
    </r>
    <r>
      <rPr>
        <rFont val="Arial"/>
        <sz val="10.0"/>
      </rPr>
      <t xml:space="preserve">  </t>
    </r>
    <r>
      <rPr>
        <rFont val="Arial"/>
        <color rgb="FF1155CC"/>
        <sz val="10.0"/>
        <u/>
      </rPr>
      <t>https://tapchikinhtetaichinh.vn/du-lieu-tro-thanh-tai-san-song-tai-tpbank.html</t>
    </r>
    <r>
      <rPr>
        <rFont val="Arial"/>
        <sz val="10.0"/>
      </rPr>
      <t xml:space="preserve"> 
 </t>
    </r>
    <r>
      <rPr>
        <rFont val="Arial"/>
        <color rgb="FF1155CC"/>
        <sz val="10.0"/>
        <u/>
      </rPr>
      <t>https://tpb.vn/tin-tuc/tin-tpbank/chien-luoc-kien-tao-nen-nhung-man-but-toc-cua-tpbank</t>
    </r>
    <r>
      <rPr>
        <rFont val="Arial"/>
        <sz val="10.0"/>
      </rPr>
      <t xml:space="preserve"> </t>
    </r>
  </si>
  <si>
    <t>Đảm bảo tính toàn vẹn dữ liệu được thực hiện theo sự vụ.</t>
  </si>
  <si>
    <t>Tính toàn vẹn dữ liệu được đảm bảo ở một số bộ phận, đơn vị chức năng.</t>
  </si>
  <si>
    <t>Tính toàn vẹn dữ liệu được đảm bảo trên hầu hết các bộ phận, đơn vị chức năng.</t>
  </si>
  <si>
    <t>Tính toàn vẹn dữ liệu được đảm bảo trên toàn doanh nghiệp.</t>
  </si>
  <si>
    <t>Tính toàn vẹn của dữ liệu được đảm bảo trong toàn doanh nghiệp và các đối tác trong hệ sinh thái.</t>
  </si>
  <si>
    <t>6.2.7</t>
  </si>
  <si>
    <t>Trực quan hóa dữ liệu</t>
  </si>
  <si>
    <t>Dữ liệu được trình bày theo sự vụ.</t>
  </si>
  <si>
    <t>Dữ liệu được trình bày ở một số bộ phận, đơn vị chức năng.</t>
  </si>
  <si>
    <t>Dữ liệu được trình bày theo cách tối ưu trong các bộ phận, đơn vị chức năng.</t>
  </si>
  <si>
    <t>Dữ liệu được trình bày theo cách tối ưu trong toàn doanh nghiệp.</t>
  </si>
  <si>
    <t>Dữ liệu được trình bày theo cách tối ưu trong doanh nghiệp và các đối tác trong hệ sinh thái.</t>
  </si>
  <si>
    <t>Hiện thực hóa giá trị từ dữ liệu</t>
  </si>
  <si>
    <t>6.3.1</t>
  </si>
  <si>
    <t>Ra quyết định dựa trên dữ liệu</t>
  </si>
  <si>
    <t>Quyết định tài trợ chương trình “Em xinh say hi” dựa trên khai thác dữ liệu; Tổng giám đốc nêu quyết định kinh doanh ngày càng dựa trên dữ liệu.</t>
  </si>
  <si>
    <t>https://tpb.vn/tin-tuc/tin-tpbank/tpbank-tien-phong-data-first-bien-du-lieu-thanh-loi-the-canh-tranh</t>
  </si>
  <si>
    <t>Các quyết định của doanh nghiệp hiếm khi dựa trên dữ liệu.</t>
  </si>
  <si>
    <t>Một số bộ phận, đơn vị chức năng của doanh nghiệp đưa ra quyết định dựa trên dữ liệu.</t>
  </si>
  <si>
    <t>Hầu hết các quyết định của doanh nghiệp được đưa ra dựa trên dữ liệu cấp bộ phận, đơn vị chức năng.</t>
  </si>
  <si>
    <t>Các quyết định của doanh nghiệp được đưa ra dựa trên dữ liệu từ khắp doanh nghiệp.</t>
  </si>
  <si>
    <t>Các quyết định của doanh nghiệp được đưa ra dựa trên dữ liệu từ khắp doanh nghiệp và các đối tác trong hệ sinh thái của doanh nghiệp.</t>
  </si>
  <si>
    <t>6.3.2</t>
  </si>
  <si>
    <t>Năng lực khoa học dữ liệu</t>
  </si>
  <si>
    <t>Mô hình AI/ML đang vận hành: Paste to Pay huấn luyện từ hàng triệu giao dịch thực; chấm điểm rủi ro gian lận theo thời gian thực; đào tạo nhân tài phân tích dữ liệu.</t>
  </si>
  <si>
    <r>
      <rPr>
        <rFont val="Arial"/>
        <color rgb="FF1155CC"/>
        <sz val="10.0"/>
        <u/>
      </rPr>
      <t>https://tpb.vn/tin-tuc/tin-tpbank/tpbank-xay-dung-ngan-hang-tri-tue</t>
    </r>
    <r>
      <rPr>
        <rFont val="Arial"/>
        <sz val="10.0"/>
      </rPr>
      <t xml:space="preserve">  </t>
    </r>
    <r>
      <rPr>
        <rFont val="Arial"/>
        <color rgb="FF1155CC"/>
        <sz val="10.0"/>
        <u/>
      </rPr>
      <t>https://tpb.vn/tin-tuc/tin-tpbank/tpbank-dung-ai-va-du-lieu-thoi-gian-thuc-ngan-chan-giao-dich-dang-ngo</t>
    </r>
    <r>
      <rPr>
        <rFont val="Arial"/>
        <sz val="10.0"/>
      </rPr>
      <t xml:space="preserve">  </t>
    </r>
    <r>
      <rPr>
        <rFont val="Arial"/>
        <color rgb="FF1155CC"/>
        <sz val="10.0"/>
        <u/>
      </rPr>
      <t>https://plo.vn/tpbank-tiep-tuc-la-noi-lam-viec-tot-nhat-chau-a-theo-hr-asia-awards-2023-post745619.html</t>
    </r>
    <r>
      <rPr>
        <rFont val="Arial"/>
        <sz val="10.0"/>
      </rPr>
      <t xml:space="preserve"> </t>
    </r>
  </si>
  <si>
    <t>Khả năng khoa học dữ liệu chưa tồn tại.</t>
  </si>
  <si>
    <t>Khả năng khoa học dữ liệu tồn tại với một số bộ phận, đơn vị chức năng.</t>
  </si>
  <si>
    <t>Khả năng khoa học dữ liệu tồn tại trên các bộ phận, đơn vị chức năng.</t>
  </si>
  <si>
    <t>Khả năng Khoa học dữ liệu hiệu quả được tối ưu hóa trong toàn doanh nghiệp.</t>
  </si>
  <si>
    <t>Các năng lực Khoa học dữ liệu hiệu quả được tối ưu hóa trong toàn doanh nghiệp và các đối tác trong hệ sinh thái của doanh nghiệp.</t>
  </si>
  <si>
    <t>6.3.3</t>
  </si>
  <si>
    <t>Khai thác giá trị kinh tế từ dữ liệu</t>
  </si>
  <si>
    <t>Lượt tải app tăng trên 200% nhờ chiến dịch dựa trên dữ liệu; ngăn nguy cơ chiếm đoạt gần 300 tỷ đồng nhờ phân tích thời gian thực.</t>
  </si>
  <si>
    <r>
      <rPr>
        <rFont val="Arial"/>
        <color rgb="FF1155CC"/>
        <sz val="10.0"/>
        <u/>
      </rPr>
      <t>https://tpb.vn/tin-tuc/tin-tpbank/tpbank-tien-phong-data-first-bien-du-lieu-thanh-loi-the-canh-tranh</t>
    </r>
    <r>
      <rPr>
        <rFont val="Arial"/>
        <sz val="10.0"/>
      </rPr>
      <t xml:space="preserve">  </t>
    </r>
    <r>
      <rPr>
        <rFont val="Arial"/>
        <color rgb="FF1155CC"/>
        <sz val="10.0"/>
        <u/>
      </rPr>
      <t>https://tpb.vn/tin-tuc/tin-tpbank/tpbank-dung-ai-va-du-lieu-thoi-gian-thuc-ngan-chan-giao-dich-dang-ngo</t>
    </r>
    <r>
      <rPr>
        <rFont val="Arial"/>
        <sz val="10.0"/>
      </rPr>
      <t xml:space="preserve"> </t>
    </r>
  </si>
  <si>
    <t>Doanh nghiệp chưa tạo ra giá trị đo lường được từ dữ liệu.</t>
  </si>
  <si>
    <t>Doanh nghiệp tạo ra một số giá trị đo lường được từ dữ liệu.</t>
  </si>
  <si>
    <t>Doanh nghiệp tạo ra giá trị đáng kể có thể đo lường từ dữ liệu trong các bộ phận, đơn vị chức năng cụ thể.</t>
  </si>
  <si>
    <t>Doanh nghiệp tạo ra giá trị đáng kể có thể đo lường từ dữ liệu và được tối ưu hóa trong toàn doanh nghiệp.</t>
  </si>
  <si>
    <t>Doanh nghiệp tạo ra giá trị đáng kể có thể đo lường được từ dữ liệu và được tối ưu hóa trên toàn doanh nghiệp và các đối tác trong hệ sinh thái.</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</si>
</sst>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1F3864"/>
      <name val="Arial"/>
    </font>
    <font>
      <b/>
      <sz val="10.0"/>
      <color rgb="FFFFFFFF"/>
      <name val="Arial"/>
    </font>
    <font>
      <b/>
      <sz val="11.0"/>
      <color theme="1"/>
      <name val="Arial"/>
    </font>
    <font>
      <sz val="11.0"/>
      <color rgb="FF0000FF"/>
      <name val="Arial"/>
    </font>
    <font>
      <i/>
      <sz val="9.0"/>
      <color rgb="FF7F7F7F"/>
      <name val="Arial"/>
    </font>
    <font>
      <sz val="10.0"/>
      <color theme="1"/>
      <name val="Arial"/>
    </font>
    <font>
      <b/>
      <sz val="12.0"/>
      <color rgb="FF1F3864"/>
      <name val="Arial"/>
    </font>
    <font>
      <b/>
      <sz val="10.0"/>
      <color theme="1"/>
      <name val="Arial"/>
    </font>
    <font>
      <b/>
      <sz val="11.0"/>
      <color rgb="FFFFFFFF"/>
      <name val="Arial"/>
    </font>
    <font>
      <sz val="10.0"/>
      <color rgb="FF7F7F7F"/>
      <name val="Arial"/>
    </font>
    <font>
      <u/>
      <sz val="10.0"/>
      <color rgb="FF0000FF"/>
      <name val="Arial"/>
    </font>
    <font>
      <sz val="9.0"/>
      <color theme="1"/>
      <name val="Arial"/>
    </font>
    <font>
      <u/>
      <sz val="10.0"/>
      <color rgb="FF0000FF"/>
      <name val="Arial"/>
    </font>
  </fonts>
  <fills count="12">
    <fill>
      <patternFill patternType="none"/>
    </fill>
    <fill>
      <patternFill patternType="lightGray"/>
    </fill>
    <fill>
      <patternFill patternType="solid">
        <fgColor rgb="FF1F3864"/>
        <bgColor rgb="FF1F3864"/>
      </patternFill>
    </fill>
    <fill>
      <patternFill patternType="solid">
        <fgColor rgb="FFBF8F00"/>
        <bgColor rgb="FFBF8F00"/>
      </patternFill>
    </fill>
    <fill>
      <patternFill patternType="solid">
        <fgColor rgb="FFFFF2CC"/>
        <bgColor rgb="FFFFF2CC"/>
      </patternFill>
    </fill>
    <fill>
      <patternFill patternType="solid">
        <fgColor rgb="FF595959"/>
        <bgColor rgb="FF595959"/>
      </patternFill>
    </fill>
    <fill>
      <patternFill patternType="solid">
        <fgColor rgb="FFDDEBF7"/>
        <bgColor rgb="FFDDEBF7"/>
      </patternFill>
    </fill>
    <fill>
      <patternFill patternType="solid">
        <fgColor rgb="FFF2F2F2"/>
        <bgColor rgb="FFF2F2F2"/>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E4DFEC"/>
        <bgColor rgb="FFE4DFE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1" fillId="3" fontId="2" numFmtId="0" xfId="0" applyAlignment="1" applyBorder="1" applyFill="1" applyFont="1">
      <alignment horizontal="center" shrinkToFit="0" vertical="center" wrapText="1"/>
    </xf>
    <xf borderId="1" fillId="4" fontId="4" numFmtId="0" xfId="0" applyAlignment="1" applyBorder="1" applyFill="1" applyFont="1">
      <alignment shrinkToFit="0" vertical="bottom" wrapText="0"/>
    </xf>
    <xf borderId="1" fillId="5" fontId="2" numFmtId="0" xfId="0" applyAlignment="1" applyBorder="1" applyFill="1" applyFont="1">
      <alignment horizontal="center" shrinkToFit="0" vertical="center" wrapText="1"/>
    </xf>
    <xf borderId="0" fillId="0" fontId="5" numFmtId="0" xfId="0" applyAlignment="1" applyFont="1">
      <alignment shrinkToFit="0" vertical="bottom" wrapText="0"/>
    </xf>
    <xf borderId="1" fillId="6" fontId="6" numFmtId="0" xfId="0" applyAlignment="1" applyBorder="1" applyFill="1" applyFont="1">
      <alignment shrinkToFit="0" vertical="top" wrapText="1"/>
    </xf>
    <xf borderId="0" fillId="0" fontId="7" numFmtId="0" xfId="0" applyAlignment="1" applyFont="1">
      <alignment shrinkToFit="0" vertical="bottom" wrapText="0"/>
    </xf>
    <xf borderId="1" fillId="6" fontId="8" numFmtId="0" xfId="0" applyAlignment="1" applyBorder="1" applyFill="1" applyFont="1">
      <alignment horizontal="center" shrinkToFit="0" vertical="top" wrapText="1"/>
    </xf>
    <xf borderId="0" fillId="0" fontId="6" numFmtId="0" xfId="0" applyAlignment="1" applyFont="1">
      <alignment shrinkToFit="0" vertical="top" wrapText="1"/>
    </xf>
    <xf borderId="1" fillId="4" fontId="6" numFmtId="0" xfId="0" applyAlignment="1" applyBorder="1" applyFill="1" applyFont="1">
      <alignment horizontal="center" readingOrder="0" shrinkToFit="0" vertical="top" wrapText="1"/>
    </xf>
    <xf borderId="1" fillId="4" fontId="6" numFmtId="0" xfId="0" applyAlignment="1" applyBorder="1" applyFill="1" applyFont="1">
      <alignment readingOrder="0" shrinkToFit="0" vertical="top" wrapText="1"/>
    </xf>
    <xf borderId="1" fillId="2" fontId="9" numFmtId="0" xfId="0" applyAlignment="1" applyBorder="1" applyFill="1" applyFont="1">
      <alignment shrinkToFit="0" vertical="bottom" wrapText="0"/>
    </xf>
    <xf borderId="1" fillId="0" fontId="10" numFmtId="0" xfId="0" applyAlignment="1" applyBorder="1" applyFont="1">
      <alignment shrinkToFit="0" vertical="top" wrapText="1"/>
    </xf>
    <xf borderId="1" fillId="2" fontId="9" numFmtId="0" xfId="0" applyAlignment="1" applyBorder="1" applyFill="1" applyFont="1">
      <alignment horizontal="center" shrinkToFit="0" vertical="bottom" wrapText="1"/>
    </xf>
    <xf borderId="1" fillId="0" fontId="6" numFmtId="0" xfId="0" applyAlignment="1" applyBorder="1" applyFont="1">
      <alignment shrinkToFit="0" vertical="bottom" wrapText="0"/>
    </xf>
    <xf borderId="1" fillId="4" fontId="11" numFmtId="0" xfId="0" applyAlignment="1" applyBorder="1" applyFill="1" applyFont="1">
      <alignment readingOrder="0" shrinkToFit="0" vertical="top" wrapText="1"/>
    </xf>
    <xf borderId="1" fillId="4" fontId="6" numFmtId="0" xfId="0" applyAlignment="1" applyBorder="1" applyFill="1" applyFont="1">
      <alignment horizontal="center" shrinkToFit="0" vertical="top" wrapText="1"/>
    </xf>
    <xf borderId="1" fillId="4" fontId="6" numFmtId="0" xfId="0" applyAlignment="1" applyBorder="1" applyFill="1" applyFont="1">
      <alignment shrinkToFit="0" vertical="top" wrapText="1"/>
    </xf>
    <xf borderId="1" fillId="7" fontId="12" numFmtId="0" xfId="0" applyAlignment="1" applyBorder="1" applyFill="1" applyFont="1">
      <alignment shrinkToFit="0" vertical="top" wrapText="1"/>
    </xf>
    <xf borderId="1" fillId="0" fontId="6" numFmtId="0" xfId="0" applyAlignment="1" applyBorder="1" applyFont="1">
      <alignment horizontal="center" shrinkToFit="0" vertical="bottom" wrapText="0"/>
    </xf>
    <xf borderId="1" fillId="7" fontId="8" numFmtId="0" xfId="0" applyAlignment="1" applyBorder="1" applyFill="1" applyFont="1">
      <alignment shrinkToFit="0" vertical="bottom" wrapText="0"/>
    </xf>
    <xf borderId="1" fillId="7" fontId="8" numFmtId="0" xfId="0" applyAlignment="1" applyBorder="1" applyFill="1" applyFont="1">
      <alignment horizontal="center" shrinkToFit="0" vertical="bottom" wrapText="0"/>
    </xf>
    <xf borderId="0" fillId="0" fontId="6" numFmtId="0" xfId="0" applyAlignment="1" applyFont="1">
      <alignment shrinkToFit="0" vertical="bottom" wrapText="0"/>
    </xf>
    <xf borderId="1" fillId="4" fontId="13" numFmtId="0" xfId="0" applyAlignment="1" applyBorder="1" applyFill="1" applyFont="1">
      <alignment readingOrder="0" shrinkToFit="0" vertical="top" wrapText="1"/>
    </xf>
    <xf borderId="1" fillId="0" fontId="3" numFmtId="0" xfId="0" applyAlignment="1" applyBorder="1" applyFont="1">
      <alignment horizontal="center" shrinkToFit="0" vertical="bottom" wrapText="0"/>
    </xf>
    <xf borderId="1" fillId="8" fontId="6" numFmtId="0" xfId="0" applyAlignment="1" applyBorder="1" applyFill="1" applyFont="1">
      <alignment shrinkToFit="0" vertical="top" wrapText="1"/>
    </xf>
    <xf borderId="1" fillId="8" fontId="8" numFmtId="0" xfId="0" applyAlignment="1" applyBorder="1" applyFill="1" applyFont="1">
      <alignment horizontal="center" shrinkToFit="0" vertical="top" wrapText="1"/>
    </xf>
    <xf borderId="1" fillId="9" fontId="6" numFmtId="0" xfId="0" applyAlignment="1" applyBorder="1" applyFill="1" applyFont="1">
      <alignment shrinkToFit="0" vertical="top" wrapText="1"/>
    </xf>
    <xf borderId="1" fillId="9" fontId="8" numFmtId="0" xfId="0" applyAlignment="1" applyBorder="1" applyFill="1" applyFont="1">
      <alignment horizontal="center" shrinkToFit="0" vertical="top" wrapText="1"/>
    </xf>
    <xf borderId="1" fillId="10" fontId="6" numFmtId="0" xfId="0" applyAlignment="1" applyBorder="1" applyFill="1" applyFont="1">
      <alignment shrinkToFit="0" vertical="top" wrapText="1"/>
    </xf>
    <xf borderId="1" fillId="10" fontId="8" numFmtId="0" xfId="0" applyAlignment="1" applyBorder="1" applyFill="1" applyFont="1">
      <alignment horizontal="center" shrinkToFit="0" vertical="top" wrapText="1"/>
    </xf>
    <xf borderId="1" fillId="4" fontId="8" numFmtId="0" xfId="0" applyAlignment="1" applyBorder="1" applyFill="1" applyFont="1">
      <alignment horizontal="center" shrinkToFit="0" vertical="top" wrapText="1"/>
    </xf>
    <xf borderId="1" fillId="11" fontId="6" numFmtId="0" xfId="0" applyAlignment="1" applyBorder="1" applyFill="1" applyFont="1">
      <alignment shrinkToFit="0" vertical="top" wrapText="1"/>
    </xf>
    <xf borderId="1" fillId="11" fontId="8" numFmtId="0" xfId="0" applyAlignment="1" applyBorder="1" applyFill="1" applyFont="1">
      <alignment horizontal="center" shrinkToFit="0" vertical="top" wrapText="1"/>
    </xf>
  </cellXfs>
  <cellStyles count="1">
    <cellStyle xfId="0" name="Normal" builtinId="0"/>
  </cellStyles>
  <dxfs count="2">
    <dxf>
      <font/>
      <fill>
        <patternFill patternType="solid">
          <fgColor rgb="FFF8CBAD"/>
          <bgColor rgb="FFF8CBAD"/>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42" Type="http://schemas.openxmlformats.org/officeDocument/2006/relationships/hyperlink" Target="https://tpb.vn/tin-tuc/tin-tpbank/thuc-trang-chuyen-doi-so-cua-cac-ngan-hang-thuong-mai-viet-nam" TargetMode="External"/><Relationship Id="rId41"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44" Type="http://schemas.openxmlformats.org/officeDocument/2006/relationships/hyperlink" Target="https://tpb.vn/tin-tuc/tin-tpbank/thuc-trang-chuyen-doi-so-cua-cac-ngan-hang-thuong-mai-viet-nam" TargetMode="External"/><Relationship Id="rId43" Type="http://schemas.openxmlformats.org/officeDocument/2006/relationships/hyperlink" Target="https://tpb.vn/tin-tuc/tin-tpbank/thuc-trang-chuyen-doi-so-cua-cac-ngan-hang-thuong-mai-viet-nam" TargetMode="External"/><Relationship Id="rId46" Type="http://schemas.openxmlformats.org/officeDocument/2006/relationships/hyperlink" Target="https://tpb.vn/tin-tuc/tin-tpbank/tpbank-dinh-nghia-lai-ngan-hang-so-toan-dien" TargetMode="External"/><Relationship Id="rId45" Type="http://schemas.openxmlformats.org/officeDocument/2006/relationships/hyperlink" Target="https://tpb.vn/tin-tuc/tin-tpbank/tpbank-dinh-nghia-lai-ngan-hang-so-toan-dien" TargetMode="External"/><Relationship Id="rId107" Type="http://schemas.openxmlformats.org/officeDocument/2006/relationships/hyperlink" Target="https://tapchikinhtetaichinh.vn/du-lieu-tro-thanh-tai-san-song-tai-tpbank.html" TargetMode="External"/><Relationship Id="rId106" Type="http://schemas.openxmlformats.org/officeDocument/2006/relationships/hyperlink" Target="https://tpb.vn/bao-mat-thong-tin-khach-hang" TargetMode="External"/><Relationship Id="rId105" Type="http://schemas.openxmlformats.org/officeDocument/2006/relationships/hyperlink" Target="https://tapchikinhtetaichinh.vn/du-lieu-tro-thanh-tai-san-song-tai-tpbank.html" TargetMode="External"/><Relationship Id="rId104" Type="http://schemas.openxmlformats.org/officeDocument/2006/relationships/hyperlink" Target="https://tpb.vn/tin-tuc/tin-tpbank/tpbank-tien-phong-data-first-bien-du-lieu-thanh-loi-the-canh-tranh" TargetMode="External"/><Relationship Id="rId109" Type="http://schemas.openxmlformats.org/officeDocument/2006/relationships/hyperlink" Target="https://tpb.vn/tin-tuc/tin-tpbank/trendsetter-nganh-ngan-hang-la-co-tien-phong-dan-dat-cach-mang-ngan-hang-so" TargetMode="External"/><Relationship Id="rId108" Type="http://schemas.openxmlformats.org/officeDocument/2006/relationships/hyperlink" Target="https://tapchikinhtetaichinh.vn/du-lieu-tro-thanh-tai-san-song-tai-tpbank.html" TargetMode="External"/><Relationship Id="rId48"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47" Type="http://schemas.openxmlformats.org/officeDocument/2006/relationships/hyperlink" Target="https://tpb.vn/tin-tuc/tin-tpbank/cham-tuong-lai-nganh-tai-chinh-cung-ngan-hang-tri-tue-tpbank" TargetMode="External"/><Relationship Id="rId49" Type="http://schemas.openxmlformats.org/officeDocument/2006/relationships/hyperlink" Target="https://tpb.vn/tin-tuc/tin-tpbank/khdn+nang+cap" TargetMode="External"/><Relationship Id="rId103" Type="http://schemas.openxmlformats.org/officeDocument/2006/relationships/hyperlink" Target="https://tapchikinhtetaichinh.vn/du-lieu-tro-thanh-tai-san-song-tai-tpbank.html" TargetMode="External"/><Relationship Id="rId102" Type="http://schemas.openxmlformats.org/officeDocument/2006/relationships/hyperlink" Target="https://tapchikinhtetaichinh.vn/du-lieu-tro-thanh-tai-san-song-tai-tpbank.html" TargetMode="External"/><Relationship Id="rId101" Type="http://schemas.openxmlformats.org/officeDocument/2006/relationships/hyperlink" Target="https://nhadautu.vn/loat-cong-nghe-di-dau-bao-chung-cho-vi-the-ngan-hang-so-hang-dau-cua-tpbank-d96774.html" TargetMode="External"/><Relationship Id="rId100" Type="http://schemas.openxmlformats.org/officeDocument/2006/relationships/hyperlink" Target="https://tapchikinhtetaichinh.vn/du-lieu-tro-thanh-tai-san-song-tai-tpbank.html" TargetMode="External"/><Relationship Id="rId31" Type="http://schemas.openxmlformats.org/officeDocument/2006/relationships/hyperlink" Target="https://tpb.vn/tin-tuc/tin-tpbank/chuyen-doi-so-giup-ngan-hang-tinh-gon-chi-phi-gia-tang-hieu-qua-hoat-dong" TargetMode="External"/><Relationship Id="rId30" Type="http://schemas.openxmlformats.org/officeDocument/2006/relationships/hyperlink" Target="https://tpb.vn/tin-tuc/tin-tpbank/chuyen-doi-so-giup-ngan-hang-tinh-gon-chi-phi-gia-tang-hieu-qua-hoat-dong" TargetMode="External"/><Relationship Id="rId33" Type="http://schemas.openxmlformats.org/officeDocument/2006/relationships/hyperlink" Target="https://tpb.vn/tin-tuc/tin-tpbank/tpbank-chinh-thuc-tro-thanh-ngan-hang-dau-tien-tai-viet-nam-chinh-phuc-duoc-chung-chi-trai-nghiem-khach-hang-quoc-te-icxs2019" TargetMode="External"/><Relationship Id="rId32" Type="http://schemas.openxmlformats.org/officeDocument/2006/relationships/hyperlink" Target="https://tpb.vn/tin-tuc/tin-tpbank/chuyen-doi-so-giup-ngan-hang-tinh-gon-chi-phi-gia-tang-hieu-qua-hoat-dong" TargetMode="External"/><Relationship Id="rId35" Type="http://schemas.openxmlformats.org/officeDocument/2006/relationships/hyperlink" Target="https://tpb.vn/tin-tuc/tin-tpbank/thuc-trang-chuyen-doi-so-cua-cac-ngan-hang-thuong-mai-viet-nam" TargetMode="External"/><Relationship Id="rId34" Type="http://schemas.openxmlformats.org/officeDocument/2006/relationships/hyperlink" Target="https://tpb.vn/tin-tuc/tin-tpbank/tpbank-va-viettel-ky-ket-hop-tac-chien-luoc" TargetMode="External"/><Relationship Id="rId37" Type="http://schemas.openxmlformats.org/officeDocument/2006/relationships/hyperlink" Target="https://tpb.vn/tin-tuc/tin-tpbank/tpbank-dinh-nghia-lai-ngan-hang-so-toan-dien" TargetMode="External"/><Relationship Id="rId36" Type="http://schemas.openxmlformats.org/officeDocument/2006/relationships/hyperlink" Target="https://tpb.vn/tin-tuc/tin-tpbank/thuc-trang-chuyen-doi-so-cua-cac-ngan-hang-thuong-mai-viet-nam" TargetMode="External"/><Relationship Id="rId39" Type="http://schemas.openxmlformats.org/officeDocument/2006/relationships/hyperlink" Target="https://tpb.vn/tin-tuc/tin-tpbank/chuyen-doi-so-giup-ngan-hang-tinh-gon-chi-phi-gia-tang-hieu-qua-hoat-dong" TargetMode="External"/><Relationship Id="rId38"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20" Type="http://schemas.openxmlformats.org/officeDocument/2006/relationships/hyperlink" Target="https://tpb.vn/wps/portal/vni/news/tin-tuc/detail/%21ut/p/z0/fYzLCoMwFES_xuUlifSxdqMgVAqFotnINQk1tSRKbqz9-wa772ZmDhyGSdYy6XC1DyTrHb4Sd_LUnytxyAUXDc-PB140ZX2_VhdR3nJWM_lfSA_2uSyyYFJ5R2Yj1tI8oJt6jYQZDwhvMwRLZt9kHUWV8dTw8zK-usT7Bh29gtW6ETSmUGP8GAfaWwgetogEARWbJ9l9AYTgqi8%21/" TargetMode="External"/><Relationship Id="rId22" Type="http://schemas.openxmlformats.org/officeDocument/2006/relationships/hyperlink" Target="https://tpb.vn/bao-mat-thong-tin-khach-hang" TargetMode="External"/><Relationship Id="rId21" Type="http://schemas.openxmlformats.org/officeDocument/2006/relationships/hyperlink" Target="https://tpb.vn/bao-mat-thong-tin-khach-hang" TargetMode="External"/><Relationship Id="rId24" Type="http://schemas.openxmlformats.org/officeDocument/2006/relationships/hyperlink" Target="https://tpb.vn/wps/portal/vni/news/tin-tuc/detail/%21ut/p/z0/fYzLCoMwFES_xuUlifSxdqMgVAqFotnINQk1tSRKbqz9-wa772ZmDhyGSdYy6XC1DyTrHb4Sd_LUnytxyAUXDc-PB140ZX2_VhdR3nJWM_lfSA_2uSyyYFJ5R2Yj1tI8oJt6jYQZDwhvMwRLZt9kHUWV8dTw8zK-usT7Bh29gtW6ETSmUGP8GAfaWwgetogEARWbJ9l9AYTgqi8%21/" TargetMode="External"/><Relationship Id="rId23" Type="http://schemas.openxmlformats.org/officeDocument/2006/relationships/hyperlink" Target="https://tpb.vn/tin-tuc/tin-tpbank/tpbank-dung-ai-va-du-lieu-thoi-gian-thuc-ngan-chan-giao-dich-dang-ngo" TargetMode="External"/><Relationship Id="rId26" Type="http://schemas.openxmlformats.org/officeDocument/2006/relationships/hyperlink" Target="https://tpb.vn/tin-tuc/tin-tpbank/the-tpbank-phat-trien-bung-no-voi-chien-luoc-ca-nhan-hoa-sac-net" TargetMode="External"/><Relationship Id="rId25" Type="http://schemas.openxmlformats.org/officeDocument/2006/relationships/hyperlink" Target="https://tpb.vn/tin-tuc/tin-tpbank/tpbank-va-con-duong-xay-dung-thuong-hieu-cong-nghe-ngan-hang-so-dam-chat-bank-tim" TargetMode="External"/><Relationship Id="rId28" Type="http://schemas.openxmlformats.org/officeDocument/2006/relationships/hyperlink" Target="https://tpb.vn/tin-tuc/tin-tpbank/tpbank-va-con-duong-xay-dung-thuong-hieu-cong-nghe-ngan-hang-so-dam-chat-bank-tim" TargetMode="External"/><Relationship Id="rId27" Type="http://schemas.openxmlformats.org/officeDocument/2006/relationships/hyperlink" Target="https://tpb.vn/wps/portal/vni/news/tin-tuc/detail/!ut/p/z0/fYxNC4MwDIZ_jcfQVvZx9qIgTAaDob1I1GI7XdQZ3X7-qrsPwpv3gScRWuRCE66uRXYDYe-50KfynKhDqKTKZHg8yCiL0_s1uaj4FopU6P-C_-Ae06QjoeuB2HxY5DxWSF3ZIGMgZ4S3qWbHZu_siJc6kH7DzwvkSp73Do0jC9Rah9CjA3752NA8obNYW7BILbAdfE4LgjUwbydsvTgP0KAfasXY6eIL-jY4wQ!!/" TargetMode="External"/><Relationship Id="rId29" Type="http://schemas.openxmlformats.org/officeDocument/2006/relationships/hyperlink" Target="https://tpb.vn/tin-tuc/tin-tpbank/tpbank-va-con-duong-xay-dung-thuong-hieu-cong-nghe-ngan-hang-so-dam-chat-bank-tim" TargetMode="External"/><Relationship Id="rId95" Type="http://schemas.openxmlformats.org/officeDocument/2006/relationships/hyperlink" Target="https://plo.vn/tpbank-tiep-tuc-la-noi-lam-viec-tot-nhat-chau-a-theo-hr-asia-awards-2023-post745619.html" TargetMode="External"/><Relationship Id="rId94"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97" Type="http://schemas.openxmlformats.org/officeDocument/2006/relationships/hyperlink" Target="https://tpb.vn/tin-tuc/tin-tpbank/tpbank-duoc-cong-nhan-doanh-nghiep-dat-chuan-van-hoa-kinh-doanh-tai-viet-nam" TargetMode="External"/><Relationship Id="rId96" Type="http://schemas.openxmlformats.org/officeDocument/2006/relationships/hyperlink" Target="https://tpb.vn/tin-tuc/tin-tpbank/trendsetter-nganh-ngan-hang-la-co-tien-phong-dan-dat-cach-mang-ngan-hang-so" TargetMode="External"/><Relationship Id="rId11" Type="http://schemas.openxmlformats.org/officeDocument/2006/relationships/hyperlink" Target="https://tpb.vn/tin-tuc/tin-tpbank/paste-to-pay-cong-nghe-chuyen-tien-doc-dao-tu-tpbank" TargetMode="External"/><Relationship Id="rId99"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10"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98" Type="http://schemas.openxmlformats.org/officeDocument/2006/relationships/hyperlink" Target="https://tpb.vn/tin-tuc/tin-tpbank/tpbank-duoc-vinh-danh-chuyen-doi-so-xuat-sac" TargetMode="External"/><Relationship Id="rId13" Type="http://schemas.openxmlformats.org/officeDocument/2006/relationships/hyperlink" Target="https://tpb.vn/tin-tuc/tin-tpbank/tpbank-mo-rong-he-sinh-thai-thanh-toan-so-theo-khach-hang-ra-the-gioi-dua-the-gioi-den-gan-voi-doanh-nghiep-viet" TargetMode="External"/><Relationship Id="rId12"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91" Type="http://schemas.openxmlformats.org/officeDocument/2006/relationships/hyperlink" Target="https://plo.vn/tpbank-tiep-tuc-la-noi-lam-viec-tot-nhat-chau-a-theo-hr-asia-awards-2023-post745619.html" TargetMode="External"/><Relationship Id="rId90"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93" Type="http://schemas.openxmlformats.org/officeDocument/2006/relationships/hyperlink" Target="https://plo.vn/tpbank-tiep-tuc-la-noi-lam-viec-tot-nhat-chau-a-theo-hr-asia-awards-2023-post745619.html" TargetMode="External"/><Relationship Id="rId92" Type="http://schemas.openxmlformats.org/officeDocument/2006/relationships/hyperlink" Target="https://tpb.vn/tin-tuc/tin-tpbank/ky-la-ngan-hang-giong-nhu-mot-cong-ty-cong-nghe-xin" TargetMode="External"/><Relationship Id="rId15" Type="http://schemas.openxmlformats.org/officeDocument/2006/relationships/hyperlink" Target="https://tpb.vn/tin-tuc/tin-tpbank/tpbank-mo-rong-he-sinh-thai-thanh-toan-so-theo-khach-hang-ra-the-gioi-dua-the-gioi-den-gan-voi-doanh-nghiep-viet" TargetMode="External"/><Relationship Id="rId110"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14" Type="http://schemas.openxmlformats.org/officeDocument/2006/relationships/hyperlink" Target="https://tpb.vn/tin-tuc/tin-tpbank/cham-tuong-lai-nganh-tai-chinh-cung-ngan-hang-tri-tue-tpbank" TargetMode="External"/><Relationship Id="rId17" Type="http://schemas.openxmlformats.org/officeDocument/2006/relationships/hyperlink" Target="https://cafef.vn/tpbank-va-triet-ly-ai-top-khi-ngan-hang-khong-chi-so-hoa-188260113105521966.chn" TargetMode="External"/><Relationship Id="rId16" Type="http://schemas.openxmlformats.org/officeDocument/2006/relationships/hyperlink" Target="https://dantri.com.vn/kinh-doanh/tpbank-dat-chuan-quoc-te-icxs2019-ve-trai-nghiem-khach-hang-20260409100317065.htm" TargetMode="External"/><Relationship Id="rId19" Type="http://schemas.openxmlformats.org/officeDocument/2006/relationships/hyperlink" Target="https://tpb.vn/tin-tuc/tin-tpbank/paste-to-pay-cong-nghe-chuyen-tien-doc-dao-tu-tpbank" TargetMode="External"/><Relationship Id="rId114" Type="http://schemas.openxmlformats.org/officeDocument/2006/relationships/drawing" Target="../drawings/drawing2.xml"/><Relationship Id="rId18" Type="http://schemas.openxmlformats.org/officeDocument/2006/relationships/hyperlink" Target="https://tpb.vn/tin-tuc/tin-tpbank/tpbank-lay-du-lieu-lam-suc-manh-cot-loi" TargetMode="External"/><Relationship Id="rId113" Type="http://schemas.openxmlformats.org/officeDocument/2006/relationships/hyperlink" Target="https://tpb.vn/tin-tuc/tin-tpbank/tpbank-tien-phong-data-first-bien-du-lieu-thanh-loi-the-canh-tranh" TargetMode="External"/><Relationship Id="rId112" Type="http://schemas.openxmlformats.org/officeDocument/2006/relationships/hyperlink" Target="https://tpb.vn/tin-tuc/tin-tpbank/tpbank-xay-dung-ngan-hang-tri-tue" TargetMode="External"/><Relationship Id="rId111" Type="http://schemas.openxmlformats.org/officeDocument/2006/relationships/hyperlink" Target="https://tpb.vn/tin-tuc/tin-tpbank/tpbank-tien-phong-data-first-bien-du-lieu-thanh-loi-the-canh-tranh" TargetMode="External"/><Relationship Id="rId84" Type="http://schemas.openxmlformats.org/officeDocument/2006/relationships/hyperlink" Target="https://tpb.vn/tin-tuc/tin-tpbank/tpbank-duoc-cong-nhan-doanh-nghiep-dat-chuan-van-hoa-kinh-doanh-tai-viet-nam" TargetMode="External"/><Relationship Id="rId83" Type="http://schemas.openxmlformats.org/officeDocument/2006/relationships/hyperlink" Target="https://vietnamfinance.vn/cong-nghe-xin-tpbank-di-dau-ve-ap-dung-tieu-chuan-quoc-te-trong-bao-dam-kinh-doanh-lien-tuc-d87635.html" TargetMode="External"/><Relationship Id="rId86" Type="http://schemas.openxmlformats.org/officeDocument/2006/relationships/hyperlink" Target="https://tpb.vn/tin-tuc/tin-tpbank/tpbank-duoc-cong-nhan-doanh-nghiep-dat-chuan-van-hoa-kinh-doanh-tai-viet-nam" TargetMode="External"/><Relationship Id="rId85" Type="http://schemas.openxmlformats.org/officeDocument/2006/relationships/hyperlink" Target="https://plo.vn/tpbank-tiep-tuc-la-noi-lam-viec-tot-nhat-chau-a-theo-hr-asia-awards-2023-post745619.html" TargetMode="External"/><Relationship Id="rId88"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87" Type="http://schemas.openxmlformats.org/officeDocument/2006/relationships/hyperlink" Target="https://plo.vn/tpbank-tiep-tuc-la-noi-lam-viec-tot-nhat-chau-a-theo-hr-asia-awards-2023-post745619.html" TargetMode="External"/><Relationship Id="rId89" Type="http://schemas.openxmlformats.org/officeDocument/2006/relationships/hyperlink" Target="https://plo.vn/tpbank-tiep-tuc-la-noi-lam-viec-tot-nhat-chau-a-theo-hr-asia-awards-2023-post745619.html" TargetMode="External"/><Relationship Id="rId80" Type="http://schemas.openxmlformats.org/officeDocument/2006/relationships/hyperlink" Target="https://tpb.vn/tin-tuc/tin-tpbank/tpbank-duoc-vinh-danh-chuyen-doi-so-xuat-sac" TargetMode="External"/><Relationship Id="rId82" Type="http://schemas.openxmlformats.org/officeDocument/2006/relationships/hyperlink" Target="https://tpb.vn/tin-tuc/tin-tpbank/tpbank-dung-ai-va-du-lieu-thoi-gian-thuc-ngan-chan-giao-dich-dang-ngo" TargetMode="External"/><Relationship Id="rId81"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1" Type="http://schemas.openxmlformats.org/officeDocument/2006/relationships/hyperlink" Target="https://tpb.vn/tin-tuc/tin-tpbank/cham-tuong-lai-nganh-tai-chinh-cung-ngan-hang-tri-tue-tpbank" TargetMode="External"/><Relationship Id="rId2"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3" Type="http://schemas.openxmlformats.org/officeDocument/2006/relationships/hyperlink" Target="https://tpb.vn/tin-tuc/tin-tpbank/paste-to-pay-cong-nghe-chuyen-tien-doc-dao-tu-tpbank" TargetMode="External"/><Relationship Id="rId4" Type="http://schemas.openxmlformats.org/officeDocument/2006/relationships/hyperlink" Target="https://tpb.vn/tin-tuc/tin-tpbank/paste-to-pay-cong-nghe-chuyen-tien-doc-dao-tu-tpbank" TargetMode="External"/><Relationship Id="rId9"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5" Type="http://schemas.openxmlformats.org/officeDocument/2006/relationships/hyperlink" Target="https://tpb.vn/tin-tuc/tin-tpbank/khac-biet-lam-nen-suc-hut-cua-cac-dich-vu-ngan-hang-so-tpbank" TargetMode="External"/><Relationship Id="rId6" Type="http://schemas.openxmlformats.org/officeDocument/2006/relationships/hyperlink" Target="https://tpb.vn/tin-tuc/tin-tpbank/cham-tuong-lai-nganh-tai-chinh-cung-ngan-hang-tri-tue-tpbank" TargetMode="External"/><Relationship Id="rId7" Type="http://schemas.openxmlformats.org/officeDocument/2006/relationships/hyperlink" Target="https://tpb.vn/tin-tuc/tin-tpbank/cham-tuong-lai-nganh-tai-chinh-cung-ngan-hang-tri-tue-tpbank" TargetMode="External"/><Relationship Id="rId8" Type="http://schemas.openxmlformats.org/officeDocument/2006/relationships/hyperlink" Target="https://tpb.vn/tin-tuc/tin-tpbank/paste-to-pay-cong-nghe-chuyen-tien-doc-dao-tu-tpbank" TargetMode="External"/><Relationship Id="rId73" Type="http://schemas.openxmlformats.org/officeDocument/2006/relationships/hyperlink" Target="https://tpb.vn/tin-tuc/tin-tpbank/chien-luoc-kien-tao-nen-nhung-man-but-toc-cua-tpbank" TargetMode="External"/><Relationship Id="rId72" Type="http://schemas.openxmlformats.org/officeDocument/2006/relationships/hyperlink" Target="https://tpb.vn/tin-tuc/tin-tpbank/ky-la-ngan-hang-giong-nhu-mot-cong-ty-cong-nghe-xin" TargetMode="External"/><Relationship Id="rId75" Type="http://schemas.openxmlformats.org/officeDocument/2006/relationships/hyperlink" Target="https://nhadautu.vn/loat-cong-nghe-di-dau-bao-chung-cho-vi-the-ngan-hang-so-hang-dau-cua-tpbank-d96774.html" TargetMode="External"/><Relationship Id="rId74" Type="http://schemas.openxmlformats.org/officeDocument/2006/relationships/hyperlink" Target="https://tpb.vn/tin-tuc/tin-tpbank/tpbank-duoc-vinh-danh-chuyen-doi-so-xuat-sac" TargetMode="External"/><Relationship Id="rId77" Type="http://schemas.openxmlformats.org/officeDocument/2006/relationships/hyperlink" Target="https://tpb.vn/tin-tuc/tin-tpbank/ky-la-ngan-hang-giong-nhu-mot-cong-ty-cong-nghe-xin" TargetMode="External"/><Relationship Id="rId76" Type="http://schemas.openxmlformats.org/officeDocument/2006/relationships/hyperlink" Target="https://vneconomy.vn/tpbank-nhan-chung-chi-iso-20000-ve-quan-ly-dich-vu-cong-nghe-thong-tin.htm" TargetMode="External"/><Relationship Id="rId79" Type="http://schemas.openxmlformats.org/officeDocument/2006/relationships/hyperlink" Target="https://vietnamfinance.vn/cong-nghe-xin-tpbank-di-dau-ve-ap-dung-tieu-chuan-quoc-te-trong-bao-dam-kinh-doanh-lien-tuc-d87635.html" TargetMode="External"/><Relationship Id="rId78" Type="http://schemas.openxmlformats.org/officeDocument/2006/relationships/hyperlink" Target="https://tpb.vn/tin-tuc/tin-tpbank/ky-la-ngan-hang-giong-nhu-mot-cong-ty-cong-nghe-xin" TargetMode="External"/><Relationship Id="rId71" Type="http://schemas.openxmlformats.org/officeDocument/2006/relationships/hyperlink" Target="https://tpb.vn/tin-tuc/tin-tpbank/tpbank-xay-dung-ngan-hang-tri-tue" TargetMode="External"/><Relationship Id="rId70" Type="http://schemas.openxmlformats.org/officeDocument/2006/relationships/hyperlink" Target="https://tpb.vn/tin-tuc/tin-tpbank/tpbank-duoc-vinh-danh-chuyen-doi-so-xuat-sac" TargetMode="External"/><Relationship Id="rId62" Type="http://schemas.openxmlformats.org/officeDocument/2006/relationships/hyperlink" Target="https://tpb.vn/tin-tuc/tin-tpbank/ung-dung-ai-ngan-hang-pha-vo-moi-quy-tac-cua-ngan-hang-truyen-thong" TargetMode="External"/><Relationship Id="rId61" Type="http://schemas.openxmlformats.org/officeDocument/2006/relationships/hyperlink" Target="https://vietnamfinance.vn/cong-nghe-xin-tpbank-di-dau-ve-ap-dung-tieu-chuan-quoc-te-trong-bao-dam-kinh-doanh-lien-tuc-d87635.html" TargetMode="External"/><Relationship Id="rId64"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63" Type="http://schemas.openxmlformats.org/officeDocument/2006/relationships/hyperlink" Target="https://vietnamfinance.vn/cong-nghe-xin-tpbank-di-dau-ve-ap-dung-tieu-chuan-quoc-te-trong-bao-dam-kinh-doanh-lien-tuc-d87635.html" TargetMode="External"/><Relationship Id="rId66" Type="http://schemas.openxmlformats.org/officeDocument/2006/relationships/hyperlink" Target="https://tpb.vn/tin-tuc/tin-tpbank/chien-luoc-kien-tao-nen-nhung-man-but-toc-cua-tpbank" TargetMode="External"/><Relationship Id="rId65" Type="http://schemas.openxmlformats.org/officeDocument/2006/relationships/hyperlink" Target="https://tpb.vn/tin-tuc/tin-tpbank/cham-tuong-lai-nganh-tai-chinh-cung-ngan-hang-tri-tue-tpbank" TargetMode="External"/><Relationship Id="rId68"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67"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60" Type="http://schemas.openxmlformats.org/officeDocument/2006/relationships/hyperlink" Target="https://tpb.vn/tin-tuc/tin-tpbank/tpbank-xay-dung-ngan-hang-tri-tue" TargetMode="External"/><Relationship Id="rId69" Type="http://schemas.openxmlformats.org/officeDocument/2006/relationships/hyperlink" Target="https://vietnamfinance.vn/cong-nghe-xin-tpbank-di-dau-ve-ap-dung-tieu-chuan-quoc-te-trong-bao-dam-kinh-doanh-lien-tuc-d87635.html" TargetMode="External"/><Relationship Id="rId51" Type="http://schemas.openxmlformats.org/officeDocument/2006/relationships/hyperlink" Target="https://tpb.vn/tin-tuc/tin-tpbank/tpbank-mang-hanh-trinh-so-den-trien-lam-thanh-tuu-dat-nuoc" TargetMode="External"/><Relationship Id="rId50" Type="http://schemas.openxmlformats.org/officeDocument/2006/relationships/hyperlink" Target="https://tpb.vn/tin-tuc/tin-tpbank/cham-tuong-lai-nganh-tai-chinh-cung-ngan-hang-tri-tue-tpbank" TargetMode="External"/><Relationship Id="rId53" Type="http://schemas.openxmlformats.org/officeDocument/2006/relationships/hyperlink" Target="https://tpb.vn/tin-tuc/tin-tpbank/cham-tuong-lai-nganh-tai-chinh-cung-ngan-hang-tri-tue-tpbank" TargetMode="External"/><Relationship Id="rId52" Type="http://schemas.openxmlformats.org/officeDocument/2006/relationships/hyperlink" Target="https://tpb.vn/wps/wcm/connect/71611b1e-e466-4eb5-a468-1d9f33d0df09/BCTN+2026+TV+21.4+VIEW+%281%29.pdf?MOD=AJPERES&amp;CONVERT_TO=url&amp;CACHEID=ROOTWORKSPACE-71611b1e-e466-4eb5-a468-1d9f33d0df09-pSU5qGp" TargetMode="External"/><Relationship Id="rId55" Type="http://schemas.openxmlformats.org/officeDocument/2006/relationships/hyperlink" Target="https://mekongasean.vn/bo-cong-an-ghi-nhan-no-luc-cua-tpbank-trong-cuoc-chien-chong-lua-dao-truc-tuyen-56579.html" TargetMode="External"/><Relationship Id="rId54" Type="http://schemas.openxmlformats.org/officeDocument/2006/relationships/hyperlink" Target="https://mekongasean.vn/bo-cong-an-ghi-nhan-no-luc-cua-tpbank-trong-cuoc-chien-chong-lua-dao-truc-tuyen-56579.html" TargetMode="External"/><Relationship Id="rId57" Type="http://schemas.openxmlformats.org/officeDocument/2006/relationships/hyperlink" Target="https://tpb.vn/tin-tuc/tin-tpbank/lanh-dao-tpbank-ke-chuyen-ung-dung-ai-trong-he-thong-ngan-hang" TargetMode="External"/><Relationship Id="rId56" Type="http://schemas.openxmlformats.org/officeDocument/2006/relationships/hyperlink" Target="https://tpb.vn/tin-tuc/tin-tpbank/tu-tot-den-xuat-sac-dieu-gi-se-dua-ngan-hang-viet-vuon-tam" TargetMode="External"/><Relationship Id="rId59" Type="http://schemas.openxmlformats.org/officeDocument/2006/relationships/hyperlink" Target="https://tpb.vn/tin-tuc/tin-tpbank/ky-la-ngan-hang-giong-nhu-mot-cong-ty-cong-nghe-xin" TargetMode="External"/><Relationship Id="rId58" Type="http://schemas.openxmlformats.org/officeDocument/2006/relationships/hyperlink" Target="https://tpb.vn/tin-tuc/tin-tpbank/tpbank-lay-du-lieu-lam-suc-manh-cot-lo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5" width="22.0"/>
    <col customWidth="1" min="6" max="26" width="8.71"/>
  </cols>
  <sheetData>
    <row r="1">
      <c r="A1" s="1" t="s">
        <v>0</v>
      </c>
    </row>
    <row r="3">
      <c r="A3" s="3" t="s">
        <v>2</v>
      </c>
      <c r="B3" s="5" t="s">
        <v>7</v>
      </c>
      <c r="C3" s="7" t="s">
        <v>14</v>
      </c>
    </row>
    <row r="4">
      <c r="A4" s="3" t="s">
        <v>18</v>
      </c>
      <c r="B4" s="5" t="s">
        <v>20</v>
      </c>
    </row>
    <row r="5">
      <c r="A5" s="3" t="s">
        <v>21</v>
      </c>
      <c r="B5" s="5">
        <v>2025.0</v>
      </c>
    </row>
    <row r="6">
      <c r="A6" s="3" t="s">
        <v>23</v>
      </c>
      <c r="B6" s="5" t="s">
        <v>24</v>
      </c>
    </row>
    <row r="8">
      <c r="A8" s="9" t="s">
        <v>25</v>
      </c>
    </row>
    <row r="9" ht="30.0" customHeight="1">
      <c r="A9" s="11" t="s">
        <v>28</v>
      </c>
    </row>
    <row r="10" ht="30.0" customHeight="1">
      <c r="A10" s="11" t="s">
        <v>30</v>
      </c>
    </row>
    <row r="11" ht="30.0" customHeight="1">
      <c r="A11" s="11" t="s">
        <v>31</v>
      </c>
    </row>
    <row r="12" ht="30.0" customHeight="1">
      <c r="A12" s="11" t="s">
        <v>32</v>
      </c>
    </row>
    <row r="13" ht="30.0" customHeight="1">
      <c r="A13" s="11" t="s">
        <v>33</v>
      </c>
    </row>
    <row r="14" ht="30.0" customHeight="1">
      <c r="A14" s="11" t="s">
        <v>34</v>
      </c>
    </row>
    <row r="15" ht="30.0" customHeight="1">
      <c r="A15" s="11" t="s">
        <v>35</v>
      </c>
    </row>
    <row r="16" ht="30.0" customHeight="1">
      <c r="A16" s="11" t="s">
        <v>36</v>
      </c>
    </row>
    <row r="17" ht="30.0" customHeight="1">
      <c r="A17" s="11" t="s">
        <v>37</v>
      </c>
    </row>
    <row r="19">
      <c r="A19" s="9" t="s">
        <v>39</v>
      </c>
    </row>
    <row r="20">
      <c r="A20" s="14" t="s">
        <v>4</v>
      </c>
      <c r="B20" s="14" t="s">
        <v>6</v>
      </c>
      <c r="C20" s="14" t="s">
        <v>8</v>
      </c>
      <c r="D20" s="14" t="s">
        <v>9</v>
      </c>
      <c r="E20" s="14" t="s">
        <v>10</v>
      </c>
      <c r="F20" s="14" t="s">
        <v>11</v>
      </c>
    </row>
    <row r="21" ht="54.75" customHeight="1">
      <c r="A21" s="15" t="s">
        <v>27</v>
      </c>
      <c r="B21" s="15">
        <v>3.0</v>
      </c>
      <c r="C21" s="15" t="s">
        <v>41</v>
      </c>
      <c r="D21" s="15" t="s">
        <v>42</v>
      </c>
      <c r="E21" s="15">
        <v>45.0</v>
      </c>
      <c r="F21" s="15">
        <v>2025.0</v>
      </c>
    </row>
    <row r="22" ht="15.75" customHeight="1">
      <c r="A22" s="15" t="s">
        <v>43</v>
      </c>
      <c r="B22" s="15" t="s">
        <v>44</v>
      </c>
      <c r="C22" s="15" t="s">
        <v>45</v>
      </c>
      <c r="D22" s="15"/>
      <c r="E22" s="15"/>
      <c r="F22" s="15"/>
    </row>
    <row r="23" ht="15.75" customHeight="1"/>
    <row r="24" ht="15.75" customHeight="1"/>
    <row r="25" ht="15.75" customHeight="1">
      <c r="A25" s="9" t="s">
        <v>46</v>
      </c>
    </row>
    <row r="26" ht="15.75" customHeight="1">
      <c r="A26" s="16" t="s">
        <v>1</v>
      </c>
      <c r="B26" s="16" t="s">
        <v>47</v>
      </c>
      <c r="C26" s="16" t="s">
        <v>48</v>
      </c>
      <c r="D26" s="16" t="s">
        <v>44</v>
      </c>
      <c r="E26" s="16" t="s">
        <v>49</v>
      </c>
    </row>
    <row r="27" ht="15.75" customHeight="1">
      <c r="A27" s="17" t="s">
        <v>22</v>
      </c>
      <c r="B27" s="22">
        <f>COUNTIF('Chấm điểm'!$A$2:$A$141,A27)</f>
        <v>25</v>
      </c>
      <c r="C27" s="22">
        <f>COUNTIFS('Chấm điểm'!$A$2:$A$141,A27,'Chấm điểm'!$E$2:$E$141,"&gt;=1",'Chấm điểm'!$E$2:$E$141,"&lt;=5")</f>
        <v>25</v>
      </c>
      <c r="D27" s="22">
        <f>COUNTIFS('Chấm điểm'!$A$2:$A$141,A27,'Chấm điểm'!$E$2:$E$141,"N/A")</f>
        <v>0</v>
      </c>
      <c r="E27" s="22">
        <f t="shared" ref="E27:E32" si="1">B27-C27-D27</f>
        <v>0</v>
      </c>
    </row>
    <row r="28" ht="15.75" customHeight="1">
      <c r="A28" s="17" t="s">
        <v>58</v>
      </c>
      <c r="B28" s="22">
        <f>COUNTIF('Chấm điểm'!$A$2:$A$141,A28)</f>
        <v>24</v>
      </c>
      <c r="C28" s="22">
        <f>COUNTIFS('Chấm điểm'!$A$2:$A$141,A28,'Chấm điểm'!$E$2:$E$141,"&gt;=1",'Chấm điểm'!$E$2:$E$141,"&lt;=5")</f>
        <v>23</v>
      </c>
      <c r="D28" s="22">
        <f>COUNTIFS('Chấm điểm'!$A$2:$A$141,A28,'Chấm điểm'!$E$2:$E$141,"N/A")</f>
        <v>1</v>
      </c>
      <c r="E28" s="22">
        <f t="shared" si="1"/>
        <v>0</v>
      </c>
    </row>
    <row r="29" ht="15.75" customHeight="1">
      <c r="A29" s="17" t="s">
        <v>68</v>
      </c>
      <c r="B29" s="22">
        <f>COUNTIF('Chấm điểm'!$A$2:$A$141,A29)</f>
        <v>29</v>
      </c>
      <c r="C29" s="22">
        <f>COUNTIFS('Chấm điểm'!$A$2:$A$141,A29,'Chấm điểm'!$E$2:$E$141,"&gt;=1",'Chấm điểm'!$E$2:$E$141,"&lt;=5")</f>
        <v>22</v>
      </c>
      <c r="D29" s="22">
        <f>COUNTIFS('Chấm điểm'!$A$2:$A$141,A29,'Chấm điểm'!$E$2:$E$141,"N/A")</f>
        <v>7</v>
      </c>
      <c r="E29" s="22">
        <f t="shared" si="1"/>
        <v>0</v>
      </c>
    </row>
    <row r="30" ht="15.75" customHeight="1">
      <c r="A30" s="17" t="s">
        <v>86</v>
      </c>
      <c r="B30" s="22">
        <f>COUNTIF('Chấm điểm'!$A$2:$A$141,A30)</f>
        <v>22</v>
      </c>
      <c r="C30" s="22">
        <f>COUNTIFS('Chấm điểm'!$A$2:$A$141,A30,'Chấm điểm'!$E$2:$E$141,"&gt;=1",'Chấm điểm'!$E$2:$E$141,"&lt;=5")</f>
        <v>18</v>
      </c>
      <c r="D30" s="22">
        <f>COUNTIFS('Chấm điểm'!$A$2:$A$141,A30,'Chấm điểm'!$E$2:$E$141,"N/A")</f>
        <v>4</v>
      </c>
      <c r="E30" s="22">
        <f t="shared" si="1"/>
        <v>0</v>
      </c>
    </row>
    <row r="31" ht="15.75" customHeight="1">
      <c r="A31" s="17" t="s">
        <v>95</v>
      </c>
      <c r="B31" s="22">
        <f>COUNTIF('Chấm điểm'!$A$2:$A$141,A31)</f>
        <v>22</v>
      </c>
      <c r="C31" s="22">
        <f>COUNTIFS('Chấm điểm'!$A$2:$A$141,A31,'Chấm điểm'!$E$2:$E$141,"&gt;=1",'Chấm điểm'!$E$2:$E$141,"&lt;=5")</f>
        <v>16</v>
      </c>
      <c r="D31" s="22">
        <f>COUNTIFS('Chấm điểm'!$A$2:$A$141,A31,'Chấm điểm'!$E$2:$E$141,"N/A")</f>
        <v>6</v>
      </c>
      <c r="E31" s="22">
        <f t="shared" si="1"/>
        <v>0</v>
      </c>
    </row>
    <row r="32" ht="15.75" customHeight="1">
      <c r="A32" s="17" t="s">
        <v>112</v>
      </c>
      <c r="B32" s="22">
        <f>COUNTIF('Chấm điểm'!$A$2:$A$141,A32)</f>
        <v>18</v>
      </c>
      <c r="C32" s="22">
        <f>COUNTIFS('Chấm điểm'!$A$2:$A$141,A32,'Chấm điểm'!$E$2:$E$141,"&gt;=1",'Chấm điểm'!$E$2:$E$141,"&lt;=5")</f>
        <v>14</v>
      </c>
      <c r="D32" s="22">
        <f>COUNTIFS('Chấm điểm'!$A$2:$A$141,A32,'Chấm điểm'!$E$2:$E$141,"N/A")</f>
        <v>4</v>
      </c>
      <c r="E32" s="22">
        <f t="shared" si="1"/>
        <v>0</v>
      </c>
    </row>
    <row r="33" ht="15.75" customHeight="1">
      <c r="A33" s="23" t="s">
        <v>131</v>
      </c>
      <c r="B33" s="24">
        <f t="shared" ref="B33:E33" si="2">SUM(B27:B32)</f>
        <v>140</v>
      </c>
      <c r="C33" s="24">
        <f t="shared" si="2"/>
        <v>118</v>
      </c>
      <c r="D33" s="24">
        <f t="shared" si="2"/>
        <v>22</v>
      </c>
      <c r="E33" s="24">
        <f t="shared" si="2"/>
        <v>0</v>
      </c>
    </row>
    <row r="34" ht="15.75" customHeight="1"/>
    <row r="35" ht="15.75" customHeight="1">
      <c r="A35" s="25" t="s">
        <v>152</v>
      </c>
      <c r="D35" s="27">
        <f>COUNTA('Chấm điểm'!$E$2:$E$141)-COUNT('Chấm điểm'!$E$2:$E$141)-COUNTIF('Chấm điểm'!$E$2:$E$141,"N/A")+COUNT('Chấm điểm'!$E$2:$E$141)-COUNTIFS('Chấm điểm'!$E$2:$E$141,"&gt;=1",'Chấm điểm'!$E$2:$E$141,"&lt;=5")</f>
        <v>0</v>
      </c>
    </row>
    <row r="36" ht="15.75" customHeight="1">
      <c r="A36" s="25" t="s">
        <v>162</v>
      </c>
      <c r="D36" s="27">
        <f>SUMPRODUCT(ISNUMBER('Chấm điểm'!$E$2:$E$141)*('Chấm điểm'!$F$2:$F$141=""))</f>
        <v>0</v>
      </c>
    </row>
    <row r="37" ht="15.75" customHeight="1">
      <c r="A37" s="25" t="s">
        <v>178</v>
      </c>
      <c r="D37" s="27">
        <f>SUMPRODUCT(ISNUMBER('Chấm điểm'!$E$2:$E$141)*('Chấm điểm'!$G$2:$G$141=""))</f>
        <v>5</v>
      </c>
    </row>
    <row r="38" ht="15.75" customHeight="1">
      <c r="A38" s="7" t="s">
        <v>184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6:F16"/>
    <mergeCell ref="A17:F17"/>
    <mergeCell ref="A35:C35"/>
    <mergeCell ref="A36:C36"/>
    <mergeCell ref="A37:C37"/>
    <mergeCell ref="A9:F9"/>
    <mergeCell ref="A10:F10"/>
    <mergeCell ref="A11:F11"/>
    <mergeCell ref="A12:F12"/>
    <mergeCell ref="A13:F13"/>
    <mergeCell ref="A14:F14"/>
    <mergeCell ref="A15:F15"/>
  </mergeCells>
  <conditionalFormatting sqref="D35:D37">
    <cfRule type="cellIs" dxfId="0" priority="1" operator="greaterThan">
      <formula>0</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8.0"/>
    <col customWidth="1" min="3" max="3" width="8.0"/>
    <col customWidth="1" min="4" max="4" width="30.0"/>
    <col customWidth="1" min="5" max="5" width="9.0"/>
    <col customWidth="1" min="6" max="6" width="55.0"/>
    <col customWidth="1" min="7" max="7" width="38.0"/>
    <col customWidth="1" min="8" max="8" width="9.0"/>
    <col customWidth="1" min="9" max="9" width="8.0"/>
    <col customWidth="1" min="10" max="10" width="25.0"/>
    <col customWidth="1" min="11" max="15" width="38.0"/>
    <col customWidth="1" min="16" max="26" width="8.71"/>
  </cols>
  <sheetData>
    <row r="1" ht="27.75" customHeight="1">
      <c r="A1" s="2" t="s">
        <v>1</v>
      </c>
      <c r="B1" s="2" t="s">
        <v>3</v>
      </c>
      <c r="C1" s="2" t="s">
        <v>4</v>
      </c>
      <c r="D1" s="2" t="s">
        <v>5</v>
      </c>
      <c r="E1" s="4" t="s">
        <v>6</v>
      </c>
      <c r="F1" s="4" t="s">
        <v>8</v>
      </c>
      <c r="G1" s="4" t="s">
        <v>9</v>
      </c>
      <c r="H1" s="4" t="s">
        <v>10</v>
      </c>
      <c r="I1" s="4" t="s">
        <v>11</v>
      </c>
      <c r="J1" s="4" t="s">
        <v>12</v>
      </c>
      <c r="K1" s="6" t="s">
        <v>13</v>
      </c>
      <c r="L1" s="6" t="s">
        <v>15</v>
      </c>
      <c r="M1" s="6" t="s">
        <v>16</v>
      </c>
      <c r="N1" s="6" t="s">
        <v>17</v>
      </c>
      <c r="O1" s="6" t="s">
        <v>19</v>
      </c>
    </row>
    <row r="2" ht="75.0" customHeight="1">
      <c r="A2" s="8" t="s">
        <v>22</v>
      </c>
      <c r="B2" s="8" t="s">
        <v>26</v>
      </c>
      <c r="C2" s="10" t="s">
        <v>27</v>
      </c>
      <c r="D2" s="8" t="s">
        <v>29</v>
      </c>
      <c r="E2" s="12">
        <v>4.0</v>
      </c>
      <c r="F2" s="13" t="s">
        <v>38</v>
      </c>
      <c r="G2" s="18" t="s">
        <v>40</v>
      </c>
      <c r="H2" s="19"/>
      <c r="I2" s="12">
        <v>2025.0</v>
      </c>
      <c r="J2" s="20"/>
      <c r="K2" s="21" t="s">
        <v>50</v>
      </c>
      <c r="L2" s="21" t="s">
        <v>51</v>
      </c>
      <c r="M2" s="21" t="s">
        <v>52</v>
      </c>
      <c r="N2" s="21" t="s">
        <v>53</v>
      </c>
      <c r="O2" s="21" t="s">
        <v>54</v>
      </c>
    </row>
    <row r="3" ht="75.0" customHeight="1">
      <c r="A3" s="8" t="s">
        <v>22</v>
      </c>
      <c r="B3" s="8" t="s">
        <v>26</v>
      </c>
      <c r="C3" s="10" t="s">
        <v>43</v>
      </c>
      <c r="D3" s="8" t="s">
        <v>55</v>
      </c>
      <c r="E3" s="12">
        <v>4.0</v>
      </c>
      <c r="F3" s="13" t="s">
        <v>56</v>
      </c>
      <c r="G3" s="18" t="s">
        <v>57</v>
      </c>
      <c r="H3" s="12">
        <v>22.0</v>
      </c>
      <c r="I3" s="12">
        <v>2025.0</v>
      </c>
      <c r="J3" s="20"/>
      <c r="K3" s="21" t="s">
        <v>59</v>
      </c>
      <c r="L3" s="21" t="s">
        <v>60</v>
      </c>
      <c r="M3" s="21" t="s">
        <v>61</v>
      </c>
      <c r="N3" s="21" t="s">
        <v>62</v>
      </c>
      <c r="O3" s="21" t="s">
        <v>63</v>
      </c>
    </row>
    <row r="4" ht="75.0" customHeight="1">
      <c r="A4" s="8" t="s">
        <v>22</v>
      </c>
      <c r="B4" s="8" t="s">
        <v>26</v>
      </c>
      <c r="C4" s="10" t="s">
        <v>64</v>
      </c>
      <c r="D4" s="8" t="s">
        <v>65</v>
      </c>
      <c r="E4" s="12">
        <v>4.0</v>
      </c>
      <c r="F4" s="13" t="s">
        <v>66</v>
      </c>
      <c r="G4" s="18" t="s">
        <v>67</v>
      </c>
      <c r="H4" s="19"/>
      <c r="I4" s="12">
        <v>2025.0</v>
      </c>
      <c r="J4" s="20"/>
      <c r="K4" s="21" t="s">
        <v>69</v>
      </c>
      <c r="L4" s="21" t="s">
        <v>70</v>
      </c>
      <c r="M4" s="21" t="s">
        <v>71</v>
      </c>
      <c r="N4" s="21" t="s">
        <v>72</v>
      </c>
      <c r="O4" s="21" t="s">
        <v>73</v>
      </c>
    </row>
    <row r="5" ht="75.0" customHeight="1">
      <c r="A5" s="8" t="s">
        <v>22</v>
      </c>
      <c r="B5" s="8" t="s">
        <v>26</v>
      </c>
      <c r="C5" s="10" t="s">
        <v>74</v>
      </c>
      <c r="D5" s="8" t="s">
        <v>75</v>
      </c>
      <c r="E5" s="12">
        <v>4.0</v>
      </c>
      <c r="F5" s="13" t="s">
        <v>76</v>
      </c>
      <c r="G5" s="18" t="s">
        <v>67</v>
      </c>
      <c r="H5" s="19"/>
      <c r="I5" s="12">
        <v>2025.0</v>
      </c>
      <c r="J5" s="20"/>
      <c r="K5" s="21" t="s">
        <v>77</v>
      </c>
      <c r="L5" s="21" t="s">
        <v>78</v>
      </c>
      <c r="M5" s="21" t="s">
        <v>79</v>
      </c>
      <c r="N5" s="21" t="s">
        <v>80</v>
      </c>
      <c r="O5" s="21" t="s">
        <v>81</v>
      </c>
    </row>
    <row r="6" ht="75.0" customHeight="1">
      <c r="A6" s="8" t="s">
        <v>22</v>
      </c>
      <c r="B6" s="8" t="s">
        <v>26</v>
      </c>
      <c r="C6" s="10" t="s">
        <v>82</v>
      </c>
      <c r="D6" s="8" t="s">
        <v>83</v>
      </c>
      <c r="E6" s="12">
        <v>3.0</v>
      </c>
      <c r="F6" s="13" t="s">
        <v>84</v>
      </c>
      <c r="G6" s="18" t="s">
        <v>85</v>
      </c>
      <c r="H6" s="19"/>
      <c r="I6" s="12">
        <v>2025.0</v>
      </c>
      <c r="J6" s="20"/>
      <c r="K6" s="21" t="s">
        <v>87</v>
      </c>
      <c r="L6" s="21" t="s">
        <v>88</v>
      </c>
      <c r="M6" s="21" t="s">
        <v>89</v>
      </c>
      <c r="N6" s="21" t="s">
        <v>90</v>
      </c>
      <c r="O6" s="21" t="s">
        <v>91</v>
      </c>
    </row>
    <row r="7" ht="75.0" customHeight="1">
      <c r="A7" s="8" t="s">
        <v>22</v>
      </c>
      <c r="B7" s="8" t="s">
        <v>26</v>
      </c>
      <c r="C7" s="10" t="s">
        <v>92</v>
      </c>
      <c r="D7" s="8" t="s">
        <v>93</v>
      </c>
      <c r="E7" s="12">
        <v>4.0</v>
      </c>
      <c r="F7" s="13" t="s">
        <v>94</v>
      </c>
      <c r="G7" s="18" t="s">
        <v>40</v>
      </c>
      <c r="H7" s="19"/>
      <c r="I7" s="12">
        <v>2025.0</v>
      </c>
      <c r="J7" s="20"/>
      <c r="K7" s="21" t="s">
        <v>96</v>
      </c>
      <c r="L7" s="21" t="s">
        <v>97</v>
      </c>
      <c r="M7" s="21" t="s">
        <v>98</v>
      </c>
      <c r="N7" s="21" t="s">
        <v>99</v>
      </c>
      <c r="O7" s="21" t="s">
        <v>100</v>
      </c>
    </row>
    <row r="8" ht="75.0" customHeight="1">
      <c r="A8" s="8" t="s">
        <v>22</v>
      </c>
      <c r="B8" s="8" t="s">
        <v>26</v>
      </c>
      <c r="C8" s="10" t="s">
        <v>101</v>
      </c>
      <c r="D8" s="8" t="s">
        <v>102</v>
      </c>
      <c r="E8" s="12">
        <v>3.0</v>
      </c>
      <c r="F8" s="13" t="s">
        <v>103</v>
      </c>
      <c r="G8" s="18" t="s">
        <v>40</v>
      </c>
      <c r="H8" s="19"/>
      <c r="I8" s="12">
        <v>2025.0</v>
      </c>
      <c r="J8" s="20"/>
      <c r="K8" s="21" t="s">
        <v>104</v>
      </c>
      <c r="L8" s="21" t="s">
        <v>105</v>
      </c>
      <c r="M8" s="21" t="s">
        <v>106</v>
      </c>
      <c r="N8" s="21" t="s">
        <v>107</v>
      </c>
      <c r="O8" s="21" t="s">
        <v>108</v>
      </c>
    </row>
    <row r="9" ht="75.0" customHeight="1">
      <c r="A9" s="8" t="s">
        <v>22</v>
      </c>
      <c r="B9" s="8" t="s">
        <v>26</v>
      </c>
      <c r="C9" s="10" t="s">
        <v>109</v>
      </c>
      <c r="D9" s="8" t="s">
        <v>110</v>
      </c>
      <c r="E9" s="12">
        <v>4.0</v>
      </c>
      <c r="F9" s="13" t="s">
        <v>111</v>
      </c>
      <c r="G9" s="18" t="s">
        <v>67</v>
      </c>
      <c r="H9" s="19"/>
      <c r="I9" s="12">
        <v>2025.0</v>
      </c>
      <c r="J9" s="20"/>
      <c r="K9" s="21" t="s">
        <v>113</v>
      </c>
      <c r="L9" s="21" t="s">
        <v>114</v>
      </c>
      <c r="M9" s="21" t="s">
        <v>115</v>
      </c>
      <c r="N9" s="21" t="s">
        <v>116</v>
      </c>
      <c r="O9" s="21" t="s">
        <v>117</v>
      </c>
    </row>
    <row r="10" ht="75.0" customHeight="1">
      <c r="A10" s="8" t="s">
        <v>22</v>
      </c>
      <c r="B10" s="8" t="s">
        <v>26</v>
      </c>
      <c r="C10" s="10" t="s">
        <v>118</v>
      </c>
      <c r="D10" s="8" t="s">
        <v>119</v>
      </c>
      <c r="E10" s="12">
        <v>3.0</v>
      </c>
      <c r="F10" s="13" t="s">
        <v>120</v>
      </c>
      <c r="G10" s="18" t="s">
        <v>57</v>
      </c>
      <c r="H10" s="12">
        <v>22.0</v>
      </c>
      <c r="I10" s="12">
        <v>2025.0</v>
      </c>
      <c r="J10" s="20"/>
      <c r="K10" s="21" t="s">
        <v>121</v>
      </c>
      <c r="L10" s="21" t="s">
        <v>122</v>
      </c>
      <c r="M10" s="21" t="s">
        <v>123</v>
      </c>
      <c r="N10" s="21" t="s">
        <v>124</v>
      </c>
      <c r="O10" s="21" t="s">
        <v>125</v>
      </c>
    </row>
    <row r="11" ht="75.0" customHeight="1">
      <c r="A11" s="8" t="s">
        <v>22</v>
      </c>
      <c r="B11" s="8" t="s">
        <v>126</v>
      </c>
      <c r="C11" s="10" t="s">
        <v>127</v>
      </c>
      <c r="D11" s="8" t="s">
        <v>128</v>
      </c>
      <c r="E11" s="12">
        <v>4.0</v>
      </c>
      <c r="F11" s="13" t="s">
        <v>129</v>
      </c>
      <c r="G11" s="18" t="s">
        <v>57</v>
      </c>
      <c r="H11" s="12">
        <v>22.0</v>
      </c>
      <c r="I11" s="12">
        <v>2025.0</v>
      </c>
      <c r="J11" s="20"/>
      <c r="K11" s="21" t="s">
        <v>130</v>
      </c>
      <c r="L11" s="21" t="s">
        <v>132</v>
      </c>
      <c r="M11" s="21" t="s">
        <v>133</v>
      </c>
      <c r="N11" s="21" t="s">
        <v>134</v>
      </c>
      <c r="O11" s="21" t="s">
        <v>135</v>
      </c>
    </row>
    <row r="12" ht="75.0" customHeight="1">
      <c r="A12" s="8" t="s">
        <v>22</v>
      </c>
      <c r="B12" s="8" t="s">
        <v>126</v>
      </c>
      <c r="C12" s="10" t="s">
        <v>136</v>
      </c>
      <c r="D12" s="8" t="s">
        <v>137</v>
      </c>
      <c r="E12" s="12">
        <v>4.0</v>
      </c>
      <c r="F12" s="13" t="s">
        <v>138</v>
      </c>
      <c r="G12" s="18" t="s">
        <v>67</v>
      </c>
      <c r="H12" s="19"/>
      <c r="I12" s="12">
        <v>2025.0</v>
      </c>
      <c r="J12" s="20"/>
      <c r="K12" s="21" t="s">
        <v>139</v>
      </c>
      <c r="L12" s="21" t="s">
        <v>140</v>
      </c>
      <c r="M12" s="21" t="s">
        <v>141</v>
      </c>
      <c r="N12" s="21" t="s">
        <v>142</v>
      </c>
      <c r="O12" s="21" t="s">
        <v>143</v>
      </c>
    </row>
    <row r="13" ht="75.0" customHeight="1">
      <c r="A13" s="8" t="s">
        <v>22</v>
      </c>
      <c r="B13" s="8" t="s">
        <v>126</v>
      </c>
      <c r="C13" s="10" t="s">
        <v>144</v>
      </c>
      <c r="D13" s="8" t="s">
        <v>145</v>
      </c>
      <c r="E13" s="12">
        <v>3.0</v>
      </c>
      <c r="F13" s="13" t="s">
        <v>146</v>
      </c>
      <c r="G13" s="18" t="s">
        <v>57</v>
      </c>
      <c r="H13" s="12">
        <v>24.0</v>
      </c>
      <c r="I13" s="12">
        <v>2025.0</v>
      </c>
      <c r="J13" s="20"/>
      <c r="K13" s="21" t="s">
        <v>147</v>
      </c>
      <c r="L13" s="21" t="s">
        <v>148</v>
      </c>
      <c r="M13" s="21" t="s">
        <v>149</v>
      </c>
      <c r="N13" s="21" t="s">
        <v>150</v>
      </c>
      <c r="O13" s="21" t="s">
        <v>151</v>
      </c>
    </row>
    <row r="14" ht="75.0" customHeight="1">
      <c r="A14" s="8" t="s">
        <v>22</v>
      </c>
      <c r="B14" s="8" t="s">
        <v>126</v>
      </c>
      <c r="C14" s="10" t="s">
        <v>153</v>
      </c>
      <c r="D14" s="8" t="s">
        <v>154</v>
      </c>
      <c r="E14" s="12">
        <v>4.0</v>
      </c>
      <c r="F14" s="13" t="s">
        <v>155</v>
      </c>
      <c r="G14" s="26" t="s">
        <v>156</v>
      </c>
      <c r="H14" s="19"/>
      <c r="I14" s="12">
        <v>2025.0</v>
      </c>
      <c r="J14" s="20"/>
      <c r="K14" s="21" t="s">
        <v>157</v>
      </c>
      <c r="L14" s="21" t="s">
        <v>158</v>
      </c>
      <c r="M14" s="21" t="s">
        <v>159</v>
      </c>
      <c r="N14" s="21" t="s">
        <v>160</v>
      </c>
      <c r="O14" s="21" t="s">
        <v>161</v>
      </c>
    </row>
    <row r="15" ht="75.0" customHeight="1">
      <c r="A15" s="8" t="s">
        <v>22</v>
      </c>
      <c r="B15" s="8" t="s">
        <v>126</v>
      </c>
      <c r="C15" s="10" t="s">
        <v>163</v>
      </c>
      <c r="D15" s="8" t="s">
        <v>164</v>
      </c>
      <c r="E15" s="12">
        <v>4.0</v>
      </c>
      <c r="F15" s="13" t="s">
        <v>165</v>
      </c>
      <c r="G15" s="18" t="s">
        <v>40</v>
      </c>
      <c r="H15" s="19"/>
      <c r="I15" s="12">
        <v>2025.0</v>
      </c>
      <c r="J15" s="20"/>
      <c r="K15" s="21" t="s">
        <v>166</v>
      </c>
      <c r="L15" s="21" t="s">
        <v>167</v>
      </c>
      <c r="M15" s="21" t="s">
        <v>168</v>
      </c>
      <c r="N15" s="21" t="s">
        <v>169</v>
      </c>
      <c r="O15" s="21" t="s">
        <v>170</v>
      </c>
    </row>
    <row r="16" ht="75.0" customHeight="1">
      <c r="A16" s="8" t="s">
        <v>22</v>
      </c>
      <c r="B16" s="8" t="s">
        <v>126</v>
      </c>
      <c r="C16" s="10" t="s">
        <v>171</v>
      </c>
      <c r="D16" s="8" t="s">
        <v>172</v>
      </c>
      <c r="E16" s="12">
        <v>4.0</v>
      </c>
      <c r="F16" s="13" t="s">
        <v>173</v>
      </c>
      <c r="G16" s="18" t="s">
        <v>156</v>
      </c>
      <c r="H16" s="19"/>
      <c r="I16" s="12">
        <v>2026.0</v>
      </c>
      <c r="J16" s="20"/>
      <c r="K16" s="21" t="s">
        <v>174</v>
      </c>
      <c r="L16" s="21" t="s">
        <v>175</v>
      </c>
      <c r="M16" s="21" t="s">
        <v>176</v>
      </c>
      <c r="N16" s="21" t="s">
        <v>177</v>
      </c>
      <c r="O16" s="21" t="s">
        <v>179</v>
      </c>
    </row>
    <row r="17" ht="75.0" customHeight="1">
      <c r="A17" s="8" t="s">
        <v>22</v>
      </c>
      <c r="B17" s="8" t="s">
        <v>126</v>
      </c>
      <c r="C17" s="10" t="s">
        <v>180</v>
      </c>
      <c r="D17" s="8" t="s">
        <v>181</v>
      </c>
      <c r="E17" s="12">
        <v>3.0</v>
      </c>
      <c r="F17" s="13" t="s">
        <v>182</v>
      </c>
      <c r="G17" s="18" t="s">
        <v>183</v>
      </c>
      <c r="H17" s="19"/>
      <c r="I17" s="12">
        <v>2026.0</v>
      </c>
      <c r="J17" s="20"/>
      <c r="K17" s="21" t="s">
        <v>185</v>
      </c>
      <c r="L17" s="21" t="s">
        <v>186</v>
      </c>
      <c r="M17" s="21" t="s">
        <v>187</v>
      </c>
      <c r="N17" s="21" t="s">
        <v>188</v>
      </c>
      <c r="O17" s="21" t="s">
        <v>189</v>
      </c>
    </row>
    <row r="18" ht="75.0" customHeight="1">
      <c r="A18" s="8" t="s">
        <v>22</v>
      </c>
      <c r="B18" s="8" t="s">
        <v>126</v>
      </c>
      <c r="C18" s="10" t="s">
        <v>190</v>
      </c>
      <c r="D18" s="8" t="s">
        <v>191</v>
      </c>
      <c r="E18" s="12">
        <v>3.0</v>
      </c>
      <c r="F18" s="13" t="s">
        <v>192</v>
      </c>
      <c r="G18" s="20"/>
      <c r="H18" s="19"/>
      <c r="I18" s="19"/>
      <c r="J18" s="20"/>
      <c r="K18" s="21" t="s">
        <v>193</v>
      </c>
      <c r="L18" s="21" t="s">
        <v>194</v>
      </c>
      <c r="M18" s="21" t="s">
        <v>195</v>
      </c>
      <c r="N18" s="21" t="s">
        <v>196</v>
      </c>
      <c r="O18" s="21" t="s">
        <v>197</v>
      </c>
    </row>
    <row r="19" ht="75.0" customHeight="1">
      <c r="A19" s="8" t="s">
        <v>22</v>
      </c>
      <c r="B19" s="8" t="s">
        <v>198</v>
      </c>
      <c r="C19" s="10" t="s">
        <v>199</v>
      </c>
      <c r="D19" s="8" t="s">
        <v>200</v>
      </c>
      <c r="E19" s="12">
        <v>4.0</v>
      </c>
      <c r="F19" s="13" t="s">
        <v>201</v>
      </c>
      <c r="G19" s="18" t="s">
        <v>202</v>
      </c>
      <c r="H19" s="19"/>
      <c r="I19" s="12">
        <v>2026.0</v>
      </c>
      <c r="J19" s="20"/>
      <c r="K19" s="21" t="s">
        <v>203</v>
      </c>
      <c r="L19" s="21" t="s">
        <v>204</v>
      </c>
      <c r="M19" s="21" t="s">
        <v>205</v>
      </c>
      <c r="N19" s="21" t="s">
        <v>206</v>
      </c>
      <c r="O19" s="21" t="s">
        <v>207</v>
      </c>
    </row>
    <row r="20" ht="75.0" customHeight="1">
      <c r="A20" s="8" t="s">
        <v>22</v>
      </c>
      <c r="B20" s="8" t="s">
        <v>198</v>
      </c>
      <c r="C20" s="10" t="s">
        <v>208</v>
      </c>
      <c r="D20" s="8" t="s">
        <v>209</v>
      </c>
      <c r="E20" s="12">
        <v>3.0</v>
      </c>
      <c r="F20" s="13" t="s">
        <v>210</v>
      </c>
      <c r="G20" s="18" t="s">
        <v>211</v>
      </c>
      <c r="H20" s="19"/>
      <c r="I20" s="12">
        <v>2025.0</v>
      </c>
      <c r="J20" s="20"/>
      <c r="K20" s="21" t="s">
        <v>212</v>
      </c>
      <c r="L20" s="21" t="s">
        <v>213</v>
      </c>
      <c r="M20" s="21" t="s">
        <v>214</v>
      </c>
      <c r="N20" s="21" t="s">
        <v>215</v>
      </c>
      <c r="O20" s="21" t="s">
        <v>216</v>
      </c>
    </row>
    <row r="21" ht="75.0" customHeight="1">
      <c r="A21" s="8" t="s">
        <v>22</v>
      </c>
      <c r="B21" s="8" t="s">
        <v>198</v>
      </c>
      <c r="C21" s="10" t="s">
        <v>217</v>
      </c>
      <c r="D21" s="8" t="s">
        <v>218</v>
      </c>
      <c r="E21" s="12">
        <v>4.0</v>
      </c>
      <c r="F21" s="13" t="s">
        <v>219</v>
      </c>
      <c r="G21" s="18" t="s">
        <v>67</v>
      </c>
      <c r="H21" s="19"/>
      <c r="I21" s="12">
        <v>2025.0</v>
      </c>
      <c r="J21" s="20"/>
      <c r="K21" s="21" t="s">
        <v>220</v>
      </c>
      <c r="L21" s="21" t="s">
        <v>221</v>
      </c>
      <c r="M21" s="21" t="s">
        <v>222</v>
      </c>
      <c r="N21" s="21" t="s">
        <v>223</v>
      </c>
      <c r="O21" s="21" t="s">
        <v>224</v>
      </c>
    </row>
    <row r="22" ht="75.0" customHeight="1">
      <c r="A22" s="8" t="s">
        <v>22</v>
      </c>
      <c r="B22" s="8" t="s">
        <v>225</v>
      </c>
      <c r="C22" s="10" t="s">
        <v>226</v>
      </c>
      <c r="D22" s="8" t="s">
        <v>227</v>
      </c>
      <c r="E22" s="12">
        <v>4.0</v>
      </c>
      <c r="F22" s="13" t="s">
        <v>228</v>
      </c>
      <c r="G22" s="18" t="s">
        <v>229</v>
      </c>
      <c r="H22" s="19"/>
      <c r="I22" s="12">
        <v>2025.0</v>
      </c>
      <c r="J22" s="20"/>
      <c r="K22" s="21" t="s">
        <v>230</v>
      </c>
      <c r="L22" s="21" t="s">
        <v>231</v>
      </c>
      <c r="M22" s="21" t="s">
        <v>232</v>
      </c>
      <c r="N22" s="21" t="s">
        <v>233</v>
      </c>
      <c r="O22" s="21" t="s">
        <v>234</v>
      </c>
    </row>
    <row r="23" ht="75.0" customHeight="1">
      <c r="A23" s="8" t="s">
        <v>22</v>
      </c>
      <c r="B23" s="8" t="s">
        <v>225</v>
      </c>
      <c r="C23" s="10" t="s">
        <v>235</v>
      </c>
      <c r="D23" s="8" t="s">
        <v>236</v>
      </c>
      <c r="E23" s="12">
        <v>3.0</v>
      </c>
      <c r="F23" s="13" t="s">
        <v>237</v>
      </c>
      <c r="G23" s="20"/>
      <c r="H23" s="19"/>
      <c r="I23" s="19"/>
      <c r="J23" s="20"/>
      <c r="K23" s="21" t="s">
        <v>238</v>
      </c>
      <c r="L23" s="21" t="s">
        <v>239</v>
      </c>
      <c r="M23" s="21" t="s">
        <v>240</v>
      </c>
      <c r="N23" s="21" t="s">
        <v>241</v>
      </c>
      <c r="O23" s="21" t="s">
        <v>242</v>
      </c>
    </row>
    <row r="24" ht="75.0" customHeight="1">
      <c r="A24" s="8" t="s">
        <v>22</v>
      </c>
      <c r="B24" s="8" t="s">
        <v>225</v>
      </c>
      <c r="C24" s="10" t="s">
        <v>243</v>
      </c>
      <c r="D24" s="8" t="s">
        <v>244</v>
      </c>
      <c r="E24" s="12">
        <v>3.0</v>
      </c>
      <c r="F24" s="13" t="s">
        <v>245</v>
      </c>
      <c r="G24" s="18" t="s">
        <v>246</v>
      </c>
      <c r="H24" s="19"/>
      <c r="I24" s="19"/>
      <c r="J24" s="20"/>
      <c r="K24" s="21" t="s">
        <v>247</v>
      </c>
      <c r="L24" s="21" t="s">
        <v>248</v>
      </c>
      <c r="M24" s="21" t="s">
        <v>249</v>
      </c>
      <c r="N24" s="21" t="s">
        <v>250</v>
      </c>
      <c r="O24" s="21" t="s">
        <v>251</v>
      </c>
    </row>
    <row r="25" ht="75.0" customHeight="1">
      <c r="A25" s="8" t="s">
        <v>22</v>
      </c>
      <c r="B25" s="8" t="s">
        <v>225</v>
      </c>
      <c r="C25" s="10" t="s">
        <v>252</v>
      </c>
      <c r="D25" s="8" t="s">
        <v>253</v>
      </c>
      <c r="E25" s="12">
        <v>3.0</v>
      </c>
      <c r="F25" s="13" t="s">
        <v>254</v>
      </c>
      <c r="G25" s="18" t="s">
        <v>246</v>
      </c>
      <c r="H25" s="19"/>
      <c r="I25" s="19"/>
      <c r="J25" s="20"/>
      <c r="K25" s="21" t="s">
        <v>255</v>
      </c>
      <c r="L25" s="21" t="s">
        <v>256</v>
      </c>
      <c r="M25" s="21" t="s">
        <v>257</v>
      </c>
      <c r="N25" s="21" t="s">
        <v>258</v>
      </c>
      <c r="O25" s="21" t="s">
        <v>259</v>
      </c>
    </row>
    <row r="26" ht="75.0" customHeight="1">
      <c r="A26" s="8" t="s">
        <v>22</v>
      </c>
      <c r="B26" s="8" t="s">
        <v>225</v>
      </c>
      <c r="C26" s="10" t="s">
        <v>260</v>
      </c>
      <c r="D26" s="8" t="s">
        <v>261</v>
      </c>
      <c r="E26" s="12">
        <v>4.0</v>
      </c>
      <c r="F26" s="13" t="s">
        <v>262</v>
      </c>
      <c r="G26" s="18" t="s">
        <v>263</v>
      </c>
      <c r="H26" s="19"/>
      <c r="I26" s="19"/>
      <c r="J26" s="20"/>
      <c r="K26" s="21" t="s">
        <v>264</v>
      </c>
      <c r="L26" s="21" t="s">
        <v>265</v>
      </c>
      <c r="M26" s="21" t="s">
        <v>266</v>
      </c>
      <c r="N26" s="21" t="s">
        <v>267</v>
      </c>
      <c r="O26" s="21" t="s">
        <v>268</v>
      </c>
    </row>
    <row r="27" ht="75.0" customHeight="1">
      <c r="A27" s="28" t="s">
        <v>58</v>
      </c>
      <c r="B27" s="28" t="s">
        <v>269</v>
      </c>
      <c r="C27" s="29" t="s">
        <v>270</v>
      </c>
      <c r="D27" s="28" t="s">
        <v>271</v>
      </c>
      <c r="E27" s="12">
        <v>4.0</v>
      </c>
      <c r="F27" s="13" t="s">
        <v>272</v>
      </c>
      <c r="G27" s="20"/>
      <c r="H27" s="19"/>
      <c r="I27" s="19"/>
      <c r="J27" s="20"/>
      <c r="K27" s="21" t="s">
        <v>273</v>
      </c>
      <c r="L27" s="21" t="s">
        <v>274</v>
      </c>
      <c r="M27" s="21" t="s">
        <v>275</v>
      </c>
      <c r="N27" s="21" t="s">
        <v>276</v>
      </c>
      <c r="O27" s="21" t="s">
        <v>277</v>
      </c>
    </row>
    <row r="28" ht="75.0" customHeight="1">
      <c r="A28" s="28" t="s">
        <v>58</v>
      </c>
      <c r="B28" s="28" t="s">
        <v>269</v>
      </c>
      <c r="C28" s="29" t="s">
        <v>278</v>
      </c>
      <c r="D28" s="28" t="s">
        <v>279</v>
      </c>
      <c r="E28" s="12">
        <v>4.0</v>
      </c>
      <c r="F28" s="13" t="s">
        <v>280</v>
      </c>
      <c r="G28" s="18" t="s">
        <v>229</v>
      </c>
      <c r="H28" s="12" t="s">
        <v>281</v>
      </c>
      <c r="I28" s="12">
        <v>2025.0</v>
      </c>
      <c r="J28" s="20"/>
      <c r="K28" s="21" t="s">
        <v>282</v>
      </c>
      <c r="L28" s="21" t="s">
        <v>283</v>
      </c>
      <c r="M28" s="21" t="s">
        <v>284</v>
      </c>
      <c r="N28" s="21" t="s">
        <v>285</v>
      </c>
      <c r="O28" s="21" t="s">
        <v>286</v>
      </c>
    </row>
    <row r="29" ht="75.0" customHeight="1">
      <c r="A29" s="28" t="s">
        <v>58</v>
      </c>
      <c r="B29" s="28" t="s">
        <v>269</v>
      </c>
      <c r="C29" s="29" t="s">
        <v>287</v>
      </c>
      <c r="D29" s="28" t="s">
        <v>288</v>
      </c>
      <c r="E29" s="12">
        <v>4.0</v>
      </c>
      <c r="F29" s="13" t="s">
        <v>289</v>
      </c>
      <c r="G29" s="18" t="s">
        <v>290</v>
      </c>
      <c r="H29" s="19"/>
      <c r="I29" s="12">
        <v>2025.0</v>
      </c>
      <c r="J29" s="20"/>
      <c r="K29" s="21" t="s">
        <v>291</v>
      </c>
      <c r="L29" s="21" t="s">
        <v>292</v>
      </c>
      <c r="M29" s="21" t="s">
        <v>293</v>
      </c>
      <c r="N29" s="21" t="s">
        <v>294</v>
      </c>
      <c r="O29" s="21" t="s">
        <v>295</v>
      </c>
    </row>
    <row r="30" ht="75.0" customHeight="1">
      <c r="A30" s="28" t="s">
        <v>58</v>
      </c>
      <c r="B30" s="28" t="s">
        <v>269</v>
      </c>
      <c r="C30" s="29" t="s">
        <v>296</v>
      </c>
      <c r="D30" s="28" t="s">
        <v>297</v>
      </c>
      <c r="E30" s="12">
        <v>4.0</v>
      </c>
      <c r="F30" s="13" t="s">
        <v>298</v>
      </c>
      <c r="G30" s="18" t="s">
        <v>299</v>
      </c>
      <c r="H30" s="19"/>
      <c r="I30" s="12">
        <v>2024.0</v>
      </c>
      <c r="J30" s="20"/>
      <c r="K30" s="21" t="s">
        <v>300</v>
      </c>
      <c r="L30" s="21" t="s">
        <v>301</v>
      </c>
      <c r="M30" s="21" t="s">
        <v>302</v>
      </c>
      <c r="N30" s="21" t="s">
        <v>303</v>
      </c>
      <c r="O30" s="21" t="s">
        <v>304</v>
      </c>
    </row>
    <row r="31" ht="75.0" customHeight="1">
      <c r="A31" s="28" t="s">
        <v>58</v>
      </c>
      <c r="B31" s="28" t="s">
        <v>305</v>
      </c>
      <c r="C31" s="29" t="s">
        <v>306</v>
      </c>
      <c r="D31" s="28" t="s">
        <v>307</v>
      </c>
      <c r="E31" s="12">
        <v>4.0</v>
      </c>
      <c r="F31" s="13" t="s">
        <v>308</v>
      </c>
      <c r="G31" s="18" t="s">
        <v>309</v>
      </c>
      <c r="H31" s="19"/>
      <c r="I31" s="12">
        <v>2022.0</v>
      </c>
      <c r="J31" s="20"/>
      <c r="K31" s="21" t="s">
        <v>310</v>
      </c>
      <c r="L31" s="21" t="s">
        <v>311</v>
      </c>
      <c r="M31" s="21" t="s">
        <v>312</v>
      </c>
      <c r="N31" s="21" t="s">
        <v>313</v>
      </c>
      <c r="O31" s="21" t="s">
        <v>314</v>
      </c>
    </row>
    <row r="32" ht="75.0" customHeight="1">
      <c r="A32" s="28" t="s">
        <v>58</v>
      </c>
      <c r="B32" s="28" t="s">
        <v>305</v>
      </c>
      <c r="C32" s="29" t="s">
        <v>315</v>
      </c>
      <c r="D32" s="28" t="s">
        <v>316</v>
      </c>
      <c r="E32" s="12">
        <v>5.0</v>
      </c>
      <c r="F32" s="13" t="s">
        <v>317</v>
      </c>
      <c r="G32" s="18" t="s">
        <v>290</v>
      </c>
      <c r="H32" s="19"/>
      <c r="I32" s="12">
        <v>2025.0</v>
      </c>
      <c r="J32" s="20"/>
      <c r="K32" s="21" t="s">
        <v>318</v>
      </c>
      <c r="L32" s="21" t="s">
        <v>319</v>
      </c>
      <c r="M32" s="21" t="s">
        <v>320</v>
      </c>
      <c r="N32" s="21" t="s">
        <v>321</v>
      </c>
      <c r="O32" s="21" t="s">
        <v>322</v>
      </c>
    </row>
    <row r="33" ht="75.0" customHeight="1">
      <c r="A33" s="28" t="s">
        <v>58</v>
      </c>
      <c r="B33" s="28" t="s">
        <v>305</v>
      </c>
      <c r="C33" s="29" t="s">
        <v>323</v>
      </c>
      <c r="D33" s="28" t="s">
        <v>324</v>
      </c>
      <c r="E33" s="12">
        <v>4.0</v>
      </c>
      <c r="F33" s="13" t="s">
        <v>325</v>
      </c>
      <c r="G33" s="18" t="s">
        <v>290</v>
      </c>
      <c r="H33" s="19"/>
      <c r="I33" s="12">
        <v>2025.0</v>
      </c>
      <c r="J33" s="20"/>
      <c r="K33" s="21" t="s">
        <v>326</v>
      </c>
      <c r="L33" s="21" t="s">
        <v>327</v>
      </c>
      <c r="M33" s="21" t="s">
        <v>328</v>
      </c>
      <c r="N33" s="21" t="s">
        <v>329</v>
      </c>
      <c r="O33" s="21" t="s">
        <v>330</v>
      </c>
    </row>
    <row r="34" ht="75.0" customHeight="1">
      <c r="A34" s="28" t="s">
        <v>58</v>
      </c>
      <c r="B34" s="28" t="s">
        <v>331</v>
      </c>
      <c r="C34" s="29" t="s">
        <v>332</v>
      </c>
      <c r="D34" s="28" t="s">
        <v>333</v>
      </c>
      <c r="E34" s="12">
        <v>4.0</v>
      </c>
      <c r="F34" s="13" t="s">
        <v>334</v>
      </c>
      <c r="G34" s="18" t="s">
        <v>335</v>
      </c>
      <c r="H34" s="19"/>
      <c r="I34" s="12">
        <v>2025.0</v>
      </c>
      <c r="J34" s="20"/>
      <c r="K34" s="21" t="s">
        <v>336</v>
      </c>
      <c r="L34" s="21" t="s">
        <v>337</v>
      </c>
      <c r="M34" s="21" t="s">
        <v>338</v>
      </c>
      <c r="N34" s="21" t="s">
        <v>339</v>
      </c>
      <c r="O34" s="21" t="s">
        <v>340</v>
      </c>
    </row>
    <row r="35" ht="75.0" customHeight="1">
      <c r="A35" s="28" t="s">
        <v>58</v>
      </c>
      <c r="B35" s="28" t="s">
        <v>331</v>
      </c>
      <c r="C35" s="29" t="s">
        <v>341</v>
      </c>
      <c r="D35" s="28" t="s">
        <v>342</v>
      </c>
      <c r="E35" s="12">
        <v>3.0</v>
      </c>
      <c r="F35" s="13" t="s">
        <v>343</v>
      </c>
      <c r="G35" s="18" t="s">
        <v>335</v>
      </c>
      <c r="H35" s="19"/>
      <c r="I35" s="12">
        <v>2025.0</v>
      </c>
      <c r="J35" s="20"/>
      <c r="K35" s="21" t="s">
        <v>344</v>
      </c>
      <c r="L35" s="21" t="s">
        <v>345</v>
      </c>
      <c r="M35" s="21" t="s">
        <v>346</v>
      </c>
      <c r="N35" s="21" t="s">
        <v>347</v>
      </c>
      <c r="O35" s="21" t="s">
        <v>348</v>
      </c>
    </row>
    <row r="36" ht="75.0" customHeight="1">
      <c r="A36" s="28" t="s">
        <v>58</v>
      </c>
      <c r="B36" s="28" t="s">
        <v>331</v>
      </c>
      <c r="C36" s="29" t="s">
        <v>349</v>
      </c>
      <c r="D36" s="28" t="s">
        <v>350</v>
      </c>
      <c r="E36" s="12">
        <v>4.0</v>
      </c>
      <c r="F36" s="13" t="s">
        <v>351</v>
      </c>
      <c r="G36" s="18" t="s">
        <v>335</v>
      </c>
      <c r="H36" s="19"/>
      <c r="I36" s="12">
        <v>2025.0</v>
      </c>
      <c r="J36" s="20"/>
      <c r="K36" s="21" t="s">
        <v>352</v>
      </c>
      <c r="L36" s="21" t="s">
        <v>353</v>
      </c>
      <c r="M36" s="21" t="s">
        <v>354</v>
      </c>
      <c r="N36" s="21" t="s">
        <v>355</v>
      </c>
      <c r="O36" s="21" t="s">
        <v>356</v>
      </c>
    </row>
    <row r="37" ht="75.0" customHeight="1">
      <c r="A37" s="28" t="s">
        <v>58</v>
      </c>
      <c r="B37" s="28" t="s">
        <v>357</v>
      </c>
      <c r="C37" s="29" t="s">
        <v>358</v>
      </c>
      <c r="D37" s="28" t="s">
        <v>359</v>
      </c>
      <c r="E37" s="12" t="s">
        <v>44</v>
      </c>
      <c r="F37" s="13" t="s">
        <v>360</v>
      </c>
      <c r="G37" s="20"/>
      <c r="H37" s="19"/>
      <c r="I37" s="19"/>
      <c r="J37" s="20"/>
      <c r="K37" s="21" t="s">
        <v>361</v>
      </c>
      <c r="L37" s="21" t="s">
        <v>362</v>
      </c>
      <c r="M37" s="21" t="s">
        <v>363</v>
      </c>
      <c r="N37" s="21" t="s">
        <v>364</v>
      </c>
      <c r="O37" s="21" t="s">
        <v>365</v>
      </c>
    </row>
    <row r="38" ht="75.0" customHeight="1">
      <c r="A38" s="28" t="s">
        <v>58</v>
      </c>
      <c r="B38" s="28" t="s">
        <v>357</v>
      </c>
      <c r="C38" s="29" t="s">
        <v>366</v>
      </c>
      <c r="D38" s="28" t="s">
        <v>367</v>
      </c>
      <c r="E38" s="12">
        <v>5.0</v>
      </c>
      <c r="F38" s="13" t="s">
        <v>368</v>
      </c>
      <c r="G38" s="18" t="s">
        <v>369</v>
      </c>
      <c r="H38" s="19"/>
      <c r="I38" s="19"/>
      <c r="J38" s="20"/>
      <c r="K38" s="21" t="s">
        <v>370</v>
      </c>
      <c r="L38" s="21" t="s">
        <v>371</v>
      </c>
      <c r="M38" s="21" t="s">
        <v>372</v>
      </c>
      <c r="N38" s="21" t="s">
        <v>373</v>
      </c>
      <c r="O38" s="21" t="s">
        <v>374</v>
      </c>
    </row>
    <row r="39" ht="75.0" customHeight="1">
      <c r="A39" s="28" t="s">
        <v>58</v>
      </c>
      <c r="B39" s="28" t="s">
        <v>357</v>
      </c>
      <c r="C39" s="29" t="s">
        <v>375</v>
      </c>
      <c r="D39" s="28" t="s">
        <v>376</v>
      </c>
      <c r="E39" s="12">
        <v>3.0</v>
      </c>
      <c r="F39" s="13" t="s">
        <v>377</v>
      </c>
      <c r="G39" s="20"/>
      <c r="H39" s="19"/>
      <c r="I39" s="19"/>
      <c r="J39" s="20"/>
      <c r="K39" s="21" t="s">
        <v>378</v>
      </c>
      <c r="L39" s="21" t="s">
        <v>379</v>
      </c>
      <c r="M39" s="21" t="s">
        <v>380</v>
      </c>
      <c r="N39" s="21" t="s">
        <v>381</v>
      </c>
      <c r="O39" s="21" t="s">
        <v>382</v>
      </c>
    </row>
    <row r="40" ht="75.0" customHeight="1">
      <c r="A40" s="28" t="s">
        <v>58</v>
      </c>
      <c r="B40" s="28" t="s">
        <v>383</v>
      </c>
      <c r="C40" s="29" t="s">
        <v>384</v>
      </c>
      <c r="D40" s="28" t="s">
        <v>385</v>
      </c>
      <c r="E40" s="12">
        <v>4.0</v>
      </c>
      <c r="F40" s="13" t="s">
        <v>386</v>
      </c>
      <c r="G40" s="18" t="s">
        <v>387</v>
      </c>
      <c r="H40" s="19"/>
      <c r="I40" s="12">
        <v>2025.0</v>
      </c>
      <c r="J40" s="20"/>
      <c r="K40" s="21" t="s">
        <v>388</v>
      </c>
      <c r="L40" s="21" t="s">
        <v>389</v>
      </c>
      <c r="M40" s="21" t="s">
        <v>390</v>
      </c>
      <c r="N40" s="21" t="s">
        <v>391</v>
      </c>
      <c r="O40" s="21" t="s">
        <v>392</v>
      </c>
    </row>
    <row r="41" ht="75.0" customHeight="1">
      <c r="A41" s="28" t="s">
        <v>58</v>
      </c>
      <c r="B41" s="28" t="s">
        <v>383</v>
      </c>
      <c r="C41" s="29" t="s">
        <v>393</v>
      </c>
      <c r="D41" s="28" t="s">
        <v>394</v>
      </c>
      <c r="E41" s="12">
        <v>4.0</v>
      </c>
      <c r="F41" s="13" t="s">
        <v>395</v>
      </c>
      <c r="G41" s="18" t="s">
        <v>396</v>
      </c>
      <c r="H41" s="19"/>
      <c r="I41" s="12">
        <v>2026.0</v>
      </c>
      <c r="J41" s="20"/>
      <c r="K41" s="21" t="s">
        <v>397</v>
      </c>
      <c r="L41" s="21" t="s">
        <v>398</v>
      </c>
      <c r="M41" s="21" t="s">
        <v>399</v>
      </c>
      <c r="N41" s="21" t="s">
        <v>400</v>
      </c>
      <c r="O41" s="21" t="s">
        <v>401</v>
      </c>
    </row>
    <row r="42" ht="75.0" customHeight="1">
      <c r="A42" s="28" t="s">
        <v>58</v>
      </c>
      <c r="B42" s="28" t="s">
        <v>383</v>
      </c>
      <c r="C42" s="29" t="s">
        <v>402</v>
      </c>
      <c r="D42" s="28" t="s">
        <v>403</v>
      </c>
      <c r="E42" s="12">
        <v>4.0</v>
      </c>
      <c r="F42" s="13" t="s">
        <v>404</v>
      </c>
      <c r="G42" s="18" t="s">
        <v>396</v>
      </c>
      <c r="H42" s="19"/>
      <c r="I42" s="12">
        <v>2026.0</v>
      </c>
      <c r="J42" s="20"/>
      <c r="K42" s="21" t="s">
        <v>405</v>
      </c>
      <c r="L42" s="21" t="s">
        <v>406</v>
      </c>
      <c r="M42" s="21" t="s">
        <v>407</v>
      </c>
      <c r="N42" s="21" t="s">
        <v>408</v>
      </c>
      <c r="O42" s="21" t="s">
        <v>409</v>
      </c>
    </row>
    <row r="43" ht="75.0" customHeight="1">
      <c r="A43" s="28" t="s">
        <v>58</v>
      </c>
      <c r="B43" s="28" t="s">
        <v>410</v>
      </c>
      <c r="C43" s="29" t="s">
        <v>411</v>
      </c>
      <c r="D43" s="28" t="s">
        <v>412</v>
      </c>
      <c r="E43" s="12">
        <v>4.0</v>
      </c>
      <c r="F43" s="13" t="s">
        <v>413</v>
      </c>
      <c r="G43" s="18" t="s">
        <v>414</v>
      </c>
      <c r="H43" s="19"/>
      <c r="I43" s="12">
        <v>2026.0</v>
      </c>
      <c r="J43" s="20"/>
      <c r="K43" s="21" t="s">
        <v>415</v>
      </c>
      <c r="L43" s="21" t="s">
        <v>416</v>
      </c>
      <c r="M43" s="21" t="s">
        <v>417</v>
      </c>
      <c r="N43" s="21" t="s">
        <v>418</v>
      </c>
      <c r="O43" s="21" t="s">
        <v>419</v>
      </c>
    </row>
    <row r="44" ht="75.0" customHeight="1">
      <c r="A44" s="28" t="s">
        <v>58</v>
      </c>
      <c r="B44" s="28" t="s">
        <v>410</v>
      </c>
      <c r="C44" s="29" t="s">
        <v>420</v>
      </c>
      <c r="D44" s="28" t="s">
        <v>421</v>
      </c>
      <c r="E44" s="12">
        <v>4.0</v>
      </c>
      <c r="F44" s="13" t="s">
        <v>422</v>
      </c>
      <c r="G44" s="18" t="s">
        <v>57</v>
      </c>
      <c r="H44" s="12">
        <v>24.0</v>
      </c>
      <c r="I44" s="12">
        <v>2025.0</v>
      </c>
      <c r="J44" s="20"/>
      <c r="K44" s="21" t="s">
        <v>423</v>
      </c>
      <c r="L44" s="21" t="s">
        <v>424</v>
      </c>
      <c r="M44" s="21" t="s">
        <v>425</v>
      </c>
      <c r="N44" s="21" t="s">
        <v>426</v>
      </c>
      <c r="O44" s="21" t="s">
        <v>427</v>
      </c>
    </row>
    <row r="45" ht="75.0" customHeight="1">
      <c r="A45" s="28" t="s">
        <v>58</v>
      </c>
      <c r="B45" s="28" t="s">
        <v>410</v>
      </c>
      <c r="C45" s="29" t="s">
        <v>428</v>
      </c>
      <c r="D45" s="28" t="s">
        <v>429</v>
      </c>
      <c r="E45" s="12">
        <v>4.0</v>
      </c>
      <c r="F45" s="13" t="s">
        <v>430</v>
      </c>
      <c r="G45" s="18" t="s">
        <v>335</v>
      </c>
      <c r="H45" s="19"/>
      <c r="I45" s="12">
        <v>2026.0</v>
      </c>
      <c r="J45" s="20"/>
      <c r="K45" s="21" t="s">
        <v>431</v>
      </c>
      <c r="L45" s="21" t="s">
        <v>432</v>
      </c>
      <c r="M45" s="21" t="s">
        <v>433</v>
      </c>
      <c r="N45" s="21" t="s">
        <v>434</v>
      </c>
      <c r="O45" s="21" t="s">
        <v>435</v>
      </c>
    </row>
    <row r="46" ht="75.0" customHeight="1">
      <c r="A46" s="28" t="s">
        <v>58</v>
      </c>
      <c r="B46" s="28" t="s">
        <v>410</v>
      </c>
      <c r="C46" s="29" t="s">
        <v>436</v>
      </c>
      <c r="D46" s="28" t="s">
        <v>437</v>
      </c>
      <c r="E46" s="12">
        <v>4.0</v>
      </c>
      <c r="F46" s="13" t="s">
        <v>438</v>
      </c>
      <c r="G46" s="18" t="s">
        <v>57</v>
      </c>
      <c r="H46" s="12">
        <v>18.0</v>
      </c>
      <c r="I46" s="12">
        <v>2025.0</v>
      </c>
      <c r="J46" s="20"/>
      <c r="K46" s="21" t="s">
        <v>439</v>
      </c>
      <c r="L46" s="21" t="s">
        <v>440</v>
      </c>
      <c r="M46" s="21" t="s">
        <v>441</v>
      </c>
      <c r="N46" s="21" t="s">
        <v>442</v>
      </c>
      <c r="O46" s="21" t="s">
        <v>443</v>
      </c>
    </row>
    <row r="47" ht="75.0" customHeight="1">
      <c r="A47" s="28" t="s">
        <v>58</v>
      </c>
      <c r="B47" s="28" t="s">
        <v>410</v>
      </c>
      <c r="C47" s="29" t="s">
        <v>444</v>
      </c>
      <c r="D47" s="28" t="s">
        <v>445</v>
      </c>
      <c r="E47" s="12">
        <v>4.0</v>
      </c>
      <c r="F47" s="13" t="s">
        <v>446</v>
      </c>
      <c r="G47" s="18" t="s">
        <v>57</v>
      </c>
      <c r="H47" s="12">
        <v>24.0</v>
      </c>
      <c r="I47" s="12">
        <v>2025.0</v>
      </c>
      <c r="J47" s="20"/>
      <c r="K47" s="21" t="s">
        <v>447</v>
      </c>
      <c r="L47" s="21" t="s">
        <v>448</v>
      </c>
      <c r="M47" s="21" t="s">
        <v>449</v>
      </c>
      <c r="N47" s="21" t="s">
        <v>450</v>
      </c>
      <c r="O47" s="21" t="s">
        <v>451</v>
      </c>
    </row>
    <row r="48" ht="75.0" customHeight="1">
      <c r="A48" s="28" t="s">
        <v>58</v>
      </c>
      <c r="B48" s="28" t="s">
        <v>410</v>
      </c>
      <c r="C48" s="29" t="s">
        <v>452</v>
      </c>
      <c r="D48" s="28" t="s">
        <v>453</v>
      </c>
      <c r="E48" s="12">
        <v>4.0</v>
      </c>
      <c r="F48" s="13" t="s">
        <v>454</v>
      </c>
      <c r="G48" s="18" t="s">
        <v>396</v>
      </c>
      <c r="H48" s="19"/>
      <c r="I48" s="12">
        <v>2026.0</v>
      </c>
      <c r="J48" s="20"/>
      <c r="K48" s="21" t="s">
        <v>455</v>
      </c>
      <c r="L48" s="21" t="s">
        <v>456</v>
      </c>
      <c r="M48" s="21" t="s">
        <v>457</v>
      </c>
      <c r="N48" s="21" t="s">
        <v>458</v>
      </c>
      <c r="O48" s="21" t="s">
        <v>459</v>
      </c>
    </row>
    <row r="49" ht="75.0" customHeight="1">
      <c r="A49" s="28" t="s">
        <v>58</v>
      </c>
      <c r="B49" s="28" t="s">
        <v>410</v>
      </c>
      <c r="C49" s="29" t="s">
        <v>460</v>
      </c>
      <c r="D49" s="28" t="s">
        <v>461</v>
      </c>
      <c r="E49" s="12">
        <v>4.0</v>
      </c>
      <c r="F49" s="13" t="s">
        <v>462</v>
      </c>
      <c r="G49" s="18" t="s">
        <v>396</v>
      </c>
      <c r="H49" s="19"/>
      <c r="I49" s="12">
        <v>2026.0</v>
      </c>
      <c r="J49" s="20"/>
      <c r="K49" s="21" t="s">
        <v>463</v>
      </c>
      <c r="L49" s="21" t="s">
        <v>464</v>
      </c>
      <c r="M49" s="21" t="s">
        <v>465</v>
      </c>
      <c r="N49" s="21" t="s">
        <v>466</v>
      </c>
      <c r="O49" s="21" t="s">
        <v>467</v>
      </c>
    </row>
    <row r="50" ht="75.0" customHeight="1">
      <c r="A50" s="28" t="s">
        <v>58</v>
      </c>
      <c r="B50" s="28" t="s">
        <v>410</v>
      </c>
      <c r="C50" s="29" t="s">
        <v>468</v>
      </c>
      <c r="D50" s="28" t="s">
        <v>469</v>
      </c>
      <c r="E50" s="12">
        <v>4.0</v>
      </c>
      <c r="F50" s="13" t="s">
        <v>470</v>
      </c>
      <c r="G50" s="18" t="s">
        <v>396</v>
      </c>
      <c r="H50" s="19"/>
      <c r="I50" s="12">
        <v>2026.0</v>
      </c>
      <c r="J50" s="20"/>
      <c r="K50" s="21" t="s">
        <v>471</v>
      </c>
      <c r="L50" s="21" t="s">
        <v>472</v>
      </c>
      <c r="M50" s="21" t="s">
        <v>473</v>
      </c>
      <c r="N50" s="21" t="s">
        <v>474</v>
      </c>
      <c r="O50" s="21" t="s">
        <v>475</v>
      </c>
    </row>
    <row r="51" ht="75.0" customHeight="1">
      <c r="A51" s="30" t="s">
        <v>68</v>
      </c>
      <c r="B51" s="30" t="s">
        <v>476</v>
      </c>
      <c r="C51" s="31" t="s">
        <v>477</v>
      </c>
      <c r="D51" s="30" t="s">
        <v>478</v>
      </c>
      <c r="E51" s="12" t="s">
        <v>44</v>
      </c>
      <c r="F51" s="20"/>
      <c r="G51" s="20"/>
      <c r="H51" s="19"/>
      <c r="I51" s="19"/>
      <c r="J51" s="20"/>
      <c r="K51" s="21" t="s">
        <v>479</v>
      </c>
      <c r="L51" s="21" t="s">
        <v>480</v>
      </c>
      <c r="M51" s="21" t="s">
        <v>481</v>
      </c>
      <c r="N51" s="21" t="s">
        <v>482</v>
      </c>
      <c r="O51" s="21" t="s">
        <v>483</v>
      </c>
    </row>
    <row r="52" ht="75.0" customHeight="1">
      <c r="A52" s="30" t="s">
        <v>68</v>
      </c>
      <c r="B52" s="30" t="s">
        <v>476</v>
      </c>
      <c r="C52" s="31" t="s">
        <v>484</v>
      </c>
      <c r="D52" s="30" t="s">
        <v>485</v>
      </c>
      <c r="E52" s="12">
        <v>4.0</v>
      </c>
      <c r="F52" s="13" t="s">
        <v>486</v>
      </c>
      <c r="G52" s="18" t="s">
        <v>414</v>
      </c>
      <c r="H52" s="19"/>
      <c r="I52" s="19"/>
      <c r="J52" s="20"/>
      <c r="K52" s="21" t="s">
        <v>487</v>
      </c>
      <c r="L52" s="21" t="s">
        <v>488</v>
      </c>
      <c r="M52" s="21" t="s">
        <v>489</v>
      </c>
      <c r="N52" s="21" t="s">
        <v>490</v>
      </c>
      <c r="O52" s="21" t="s">
        <v>491</v>
      </c>
    </row>
    <row r="53" ht="75.0" customHeight="1">
      <c r="A53" s="30" t="s">
        <v>68</v>
      </c>
      <c r="B53" s="30" t="s">
        <v>476</v>
      </c>
      <c r="C53" s="31" t="s">
        <v>492</v>
      </c>
      <c r="D53" s="30" t="s">
        <v>493</v>
      </c>
      <c r="E53" s="12">
        <v>4.0</v>
      </c>
      <c r="F53" s="20" t="s">
        <v>494</v>
      </c>
      <c r="G53" s="20"/>
      <c r="H53" s="12">
        <v>73.0</v>
      </c>
      <c r="I53" s="12">
        <v>2025.0</v>
      </c>
      <c r="J53" s="20"/>
      <c r="K53" s="21" t="s">
        <v>495</v>
      </c>
      <c r="L53" s="21" t="s">
        <v>496</v>
      </c>
      <c r="M53" s="21" t="s">
        <v>497</v>
      </c>
      <c r="N53" s="21" t="s">
        <v>494</v>
      </c>
      <c r="O53" s="21" t="s">
        <v>498</v>
      </c>
    </row>
    <row r="54" ht="75.0" customHeight="1">
      <c r="A54" s="30" t="s">
        <v>68</v>
      </c>
      <c r="B54" s="30" t="s">
        <v>476</v>
      </c>
      <c r="C54" s="31" t="s">
        <v>499</v>
      </c>
      <c r="D54" s="30" t="s">
        <v>500</v>
      </c>
      <c r="E54" s="12" t="s">
        <v>44</v>
      </c>
      <c r="F54" s="13" t="s">
        <v>360</v>
      </c>
      <c r="G54" s="20"/>
      <c r="H54" s="19"/>
      <c r="I54" s="19"/>
      <c r="J54" s="20"/>
      <c r="K54" s="21" t="s">
        <v>501</v>
      </c>
      <c r="L54" s="21" t="s">
        <v>502</v>
      </c>
      <c r="M54" s="21" t="s">
        <v>503</v>
      </c>
      <c r="N54" s="21" t="s">
        <v>504</v>
      </c>
      <c r="O54" s="21" t="s">
        <v>505</v>
      </c>
    </row>
    <row r="55" ht="75.0" customHeight="1">
      <c r="A55" s="30" t="s">
        <v>68</v>
      </c>
      <c r="B55" s="30" t="s">
        <v>476</v>
      </c>
      <c r="C55" s="31" t="s">
        <v>506</v>
      </c>
      <c r="D55" s="30" t="s">
        <v>507</v>
      </c>
      <c r="E55" s="12">
        <v>4.0</v>
      </c>
      <c r="F55" s="13" t="s">
        <v>508</v>
      </c>
      <c r="G55" s="18" t="s">
        <v>414</v>
      </c>
      <c r="H55" s="19"/>
      <c r="I55" s="12">
        <v>2026.0</v>
      </c>
      <c r="J55" s="20"/>
      <c r="K55" s="21" t="s">
        <v>509</v>
      </c>
      <c r="L55" s="21" t="s">
        <v>510</v>
      </c>
      <c r="M55" s="21" t="s">
        <v>511</v>
      </c>
      <c r="N55" s="21" t="s">
        <v>512</v>
      </c>
      <c r="O55" s="21" t="s">
        <v>513</v>
      </c>
    </row>
    <row r="56" ht="75.0" customHeight="1">
      <c r="A56" s="30" t="s">
        <v>68</v>
      </c>
      <c r="B56" s="30" t="s">
        <v>514</v>
      </c>
      <c r="C56" s="31" t="s">
        <v>515</v>
      </c>
      <c r="D56" s="30" t="s">
        <v>516</v>
      </c>
      <c r="E56" s="12">
        <v>4.0</v>
      </c>
      <c r="F56" s="13" t="s">
        <v>517</v>
      </c>
      <c r="G56" s="26" t="s">
        <v>518</v>
      </c>
      <c r="H56" s="19"/>
      <c r="I56" s="12">
        <v>2025.0</v>
      </c>
      <c r="J56" s="20"/>
      <c r="K56" s="21" t="s">
        <v>519</v>
      </c>
      <c r="L56" s="21" t="s">
        <v>520</v>
      </c>
      <c r="M56" s="21" t="s">
        <v>521</v>
      </c>
      <c r="N56" s="21" t="s">
        <v>522</v>
      </c>
      <c r="O56" s="21" t="s">
        <v>523</v>
      </c>
    </row>
    <row r="57" ht="75.0" customHeight="1">
      <c r="A57" s="30" t="s">
        <v>68</v>
      </c>
      <c r="B57" s="30" t="s">
        <v>514</v>
      </c>
      <c r="C57" s="31" t="s">
        <v>524</v>
      </c>
      <c r="D57" s="30" t="s">
        <v>525</v>
      </c>
      <c r="E57" s="12">
        <v>4.0</v>
      </c>
      <c r="F57" s="13" t="s">
        <v>526</v>
      </c>
      <c r="G57" s="18" t="s">
        <v>57</v>
      </c>
      <c r="H57" s="12">
        <v>24.0</v>
      </c>
      <c r="I57" s="12">
        <v>2025.0</v>
      </c>
      <c r="J57" s="20"/>
      <c r="K57" s="21" t="s">
        <v>527</v>
      </c>
      <c r="L57" s="21" t="s">
        <v>528</v>
      </c>
      <c r="M57" s="21" t="s">
        <v>529</v>
      </c>
      <c r="N57" s="21" t="s">
        <v>530</v>
      </c>
      <c r="O57" s="21" t="s">
        <v>531</v>
      </c>
    </row>
    <row r="58" ht="75.0" customHeight="1">
      <c r="A58" s="30" t="s">
        <v>68</v>
      </c>
      <c r="B58" s="30" t="s">
        <v>514</v>
      </c>
      <c r="C58" s="31" t="s">
        <v>532</v>
      </c>
      <c r="D58" s="30" t="s">
        <v>533</v>
      </c>
      <c r="E58" s="12" t="s">
        <v>44</v>
      </c>
      <c r="F58" s="13" t="s">
        <v>534</v>
      </c>
      <c r="G58" s="20"/>
      <c r="H58" s="19"/>
      <c r="I58" s="19"/>
      <c r="J58" s="20"/>
      <c r="K58" s="21" t="s">
        <v>535</v>
      </c>
      <c r="L58" s="21" t="s">
        <v>536</v>
      </c>
      <c r="M58" s="21" t="s">
        <v>537</v>
      </c>
      <c r="N58" s="21" t="s">
        <v>538</v>
      </c>
      <c r="O58" s="21" t="s">
        <v>539</v>
      </c>
    </row>
    <row r="59" ht="75.0" customHeight="1">
      <c r="A59" s="30" t="s">
        <v>68</v>
      </c>
      <c r="B59" s="30" t="s">
        <v>514</v>
      </c>
      <c r="C59" s="31" t="s">
        <v>540</v>
      </c>
      <c r="D59" s="30" t="s">
        <v>541</v>
      </c>
      <c r="E59" s="12">
        <v>4.0</v>
      </c>
      <c r="F59" s="13" t="s">
        <v>542</v>
      </c>
      <c r="G59" s="18" t="s">
        <v>543</v>
      </c>
      <c r="H59" s="19"/>
      <c r="I59" s="12">
        <v>2024.0</v>
      </c>
      <c r="J59" s="20"/>
      <c r="K59" s="21" t="s">
        <v>544</v>
      </c>
      <c r="L59" s="21" t="s">
        <v>545</v>
      </c>
      <c r="M59" s="21" t="s">
        <v>546</v>
      </c>
      <c r="N59" s="21" t="s">
        <v>547</v>
      </c>
      <c r="O59" s="21" t="s">
        <v>548</v>
      </c>
    </row>
    <row r="60" ht="75.0" customHeight="1">
      <c r="A60" s="30" t="s">
        <v>68</v>
      </c>
      <c r="B60" s="30" t="s">
        <v>514</v>
      </c>
      <c r="C60" s="31" t="s">
        <v>549</v>
      </c>
      <c r="D60" s="30" t="s">
        <v>550</v>
      </c>
      <c r="E60" s="12">
        <v>4.0</v>
      </c>
      <c r="F60" s="13" t="s">
        <v>551</v>
      </c>
      <c r="G60" s="26" t="s">
        <v>552</v>
      </c>
      <c r="H60" s="19"/>
      <c r="I60" s="12">
        <v>2025.0</v>
      </c>
      <c r="J60" s="20"/>
      <c r="K60" s="21" t="s">
        <v>553</v>
      </c>
      <c r="L60" s="21" t="s">
        <v>554</v>
      </c>
      <c r="M60" s="21" t="s">
        <v>555</v>
      </c>
      <c r="N60" s="21" t="s">
        <v>556</v>
      </c>
      <c r="O60" s="21" t="s">
        <v>557</v>
      </c>
    </row>
    <row r="61" ht="75.0" customHeight="1">
      <c r="A61" s="30" t="s">
        <v>68</v>
      </c>
      <c r="B61" s="30" t="s">
        <v>514</v>
      </c>
      <c r="C61" s="31" t="s">
        <v>558</v>
      </c>
      <c r="D61" s="30" t="s">
        <v>559</v>
      </c>
      <c r="E61" s="12">
        <v>4.0</v>
      </c>
      <c r="F61" s="13" t="s">
        <v>560</v>
      </c>
      <c r="G61" s="18" t="s">
        <v>561</v>
      </c>
      <c r="H61" s="19"/>
      <c r="I61" s="12">
        <v>2025.0</v>
      </c>
      <c r="J61" s="20"/>
      <c r="K61" s="21" t="s">
        <v>562</v>
      </c>
      <c r="L61" s="21" t="s">
        <v>563</v>
      </c>
      <c r="M61" s="21" t="s">
        <v>564</v>
      </c>
      <c r="N61" s="21" t="s">
        <v>565</v>
      </c>
      <c r="O61" s="21" t="s">
        <v>566</v>
      </c>
    </row>
    <row r="62" ht="75.0" customHeight="1">
      <c r="A62" s="30" t="s">
        <v>68</v>
      </c>
      <c r="B62" s="30" t="s">
        <v>514</v>
      </c>
      <c r="C62" s="31" t="s">
        <v>567</v>
      </c>
      <c r="D62" s="30" t="s">
        <v>568</v>
      </c>
      <c r="E62" s="12">
        <v>4.0</v>
      </c>
      <c r="F62" s="13" t="s">
        <v>569</v>
      </c>
      <c r="G62" s="18" t="s">
        <v>57</v>
      </c>
      <c r="H62" s="12">
        <v>24.0</v>
      </c>
      <c r="I62" s="12">
        <v>2025.0</v>
      </c>
      <c r="J62" s="20"/>
      <c r="K62" s="21" t="s">
        <v>570</v>
      </c>
      <c r="L62" s="21" t="s">
        <v>571</v>
      </c>
      <c r="M62" s="21" t="s">
        <v>572</v>
      </c>
      <c r="N62" s="21" t="s">
        <v>573</v>
      </c>
      <c r="O62" s="21" t="s">
        <v>574</v>
      </c>
    </row>
    <row r="63" ht="75.0" customHeight="1">
      <c r="A63" s="30" t="s">
        <v>68</v>
      </c>
      <c r="B63" s="30" t="s">
        <v>575</v>
      </c>
      <c r="C63" s="31" t="s">
        <v>576</v>
      </c>
      <c r="D63" s="30" t="s">
        <v>577</v>
      </c>
      <c r="E63" s="12">
        <v>5.0</v>
      </c>
      <c r="F63" s="13" t="s">
        <v>578</v>
      </c>
      <c r="G63" s="18" t="s">
        <v>40</v>
      </c>
      <c r="H63" s="19"/>
      <c r="I63" s="12">
        <v>2025.0</v>
      </c>
      <c r="J63" s="20"/>
      <c r="K63" s="21" t="s">
        <v>579</v>
      </c>
      <c r="L63" s="21" t="s">
        <v>580</v>
      </c>
      <c r="M63" s="21" t="s">
        <v>581</v>
      </c>
      <c r="N63" s="21" t="s">
        <v>582</v>
      </c>
      <c r="O63" s="21" t="s">
        <v>583</v>
      </c>
    </row>
    <row r="64" ht="75.0" customHeight="1">
      <c r="A64" s="30" t="s">
        <v>68</v>
      </c>
      <c r="B64" s="30" t="s">
        <v>575</v>
      </c>
      <c r="C64" s="31" t="s">
        <v>584</v>
      </c>
      <c r="D64" s="30" t="s">
        <v>585</v>
      </c>
      <c r="E64" s="12">
        <v>5.0</v>
      </c>
      <c r="F64" s="13" t="s">
        <v>586</v>
      </c>
      <c r="G64" s="18" t="s">
        <v>587</v>
      </c>
      <c r="H64" s="19"/>
      <c r="I64" s="12">
        <v>2026.0</v>
      </c>
      <c r="J64" s="20"/>
      <c r="K64" s="21" t="s">
        <v>588</v>
      </c>
      <c r="L64" s="21" t="s">
        <v>589</v>
      </c>
      <c r="M64" s="21" t="s">
        <v>590</v>
      </c>
      <c r="N64" s="21" t="s">
        <v>591</v>
      </c>
      <c r="O64" s="21" t="s">
        <v>592</v>
      </c>
    </row>
    <row r="65" ht="75.0" customHeight="1">
      <c r="A65" s="30" t="s">
        <v>68</v>
      </c>
      <c r="B65" s="30" t="s">
        <v>575</v>
      </c>
      <c r="C65" s="31" t="s">
        <v>593</v>
      </c>
      <c r="D65" s="30" t="s">
        <v>594</v>
      </c>
      <c r="E65" s="12">
        <v>5.0</v>
      </c>
      <c r="F65" s="13" t="s">
        <v>586</v>
      </c>
      <c r="G65" s="18" t="s">
        <v>587</v>
      </c>
      <c r="H65" s="19"/>
      <c r="I65" s="12">
        <v>2026.0</v>
      </c>
      <c r="J65" s="20"/>
      <c r="K65" s="21" t="s">
        <v>595</v>
      </c>
      <c r="L65" s="21" t="s">
        <v>596</v>
      </c>
      <c r="M65" s="21" t="s">
        <v>597</v>
      </c>
      <c r="N65" s="21" t="s">
        <v>598</v>
      </c>
      <c r="O65" s="21" t="s">
        <v>599</v>
      </c>
    </row>
    <row r="66" ht="75.0" customHeight="1">
      <c r="A66" s="30" t="s">
        <v>68</v>
      </c>
      <c r="B66" s="30" t="s">
        <v>575</v>
      </c>
      <c r="C66" s="31" t="s">
        <v>600</v>
      </c>
      <c r="D66" s="30" t="s">
        <v>601</v>
      </c>
      <c r="E66" s="12">
        <v>4.0</v>
      </c>
      <c r="F66" s="13" t="s">
        <v>602</v>
      </c>
      <c r="G66" s="18" t="s">
        <v>603</v>
      </c>
      <c r="H66" s="19"/>
      <c r="I66" s="19"/>
      <c r="J66" s="20"/>
      <c r="K66" s="21" t="s">
        <v>604</v>
      </c>
      <c r="L66" s="21" t="s">
        <v>605</v>
      </c>
      <c r="M66" s="21" t="s">
        <v>606</v>
      </c>
      <c r="N66" s="21" t="s">
        <v>607</v>
      </c>
      <c r="O66" s="21" t="s">
        <v>608</v>
      </c>
    </row>
    <row r="67" ht="75.0" customHeight="1">
      <c r="A67" s="30" t="s">
        <v>68</v>
      </c>
      <c r="B67" s="30" t="s">
        <v>609</v>
      </c>
      <c r="C67" s="31" t="s">
        <v>610</v>
      </c>
      <c r="D67" s="30" t="s">
        <v>611</v>
      </c>
      <c r="E67" s="12">
        <v>5.0</v>
      </c>
      <c r="F67" s="13" t="s">
        <v>612</v>
      </c>
      <c r="G67" s="26" t="s">
        <v>613</v>
      </c>
      <c r="H67" s="19"/>
      <c r="I67" s="12">
        <v>2026.0</v>
      </c>
      <c r="J67" s="20"/>
      <c r="K67" s="21" t="s">
        <v>614</v>
      </c>
      <c r="L67" s="21" t="s">
        <v>615</v>
      </c>
      <c r="M67" s="21" t="s">
        <v>616</v>
      </c>
      <c r="N67" s="21" t="s">
        <v>617</v>
      </c>
      <c r="O67" s="21" t="s">
        <v>618</v>
      </c>
    </row>
    <row r="68" ht="75.0" customHeight="1">
      <c r="A68" s="30" t="s">
        <v>68</v>
      </c>
      <c r="B68" s="30" t="s">
        <v>609</v>
      </c>
      <c r="C68" s="31" t="s">
        <v>619</v>
      </c>
      <c r="D68" s="30" t="s">
        <v>620</v>
      </c>
      <c r="E68" s="12">
        <v>4.0</v>
      </c>
      <c r="F68" s="13" t="s">
        <v>621</v>
      </c>
      <c r="G68" s="18" t="s">
        <v>211</v>
      </c>
      <c r="H68" s="19"/>
      <c r="I68" s="12">
        <v>2025.0</v>
      </c>
      <c r="J68" s="20"/>
      <c r="K68" s="21" t="s">
        <v>622</v>
      </c>
      <c r="L68" s="21" t="s">
        <v>623</v>
      </c>
      <c r="M68" s="21" t="s">
        <v>624</v>
      </c>
      <c r="N68" s="21" t="s">
        <v>625</v>
      </c>
      <c r="O68" s="21" t="s">
        <v>626</v>
      </c>
    </row>
    <row r="69" ht="75.0" customHeight="1">
      <c r="A69" s="30" t="s">
        <v>68</v>
      </c>
      <c r="B69" s="30" t="s">
        <v>609</v>
      </c>
      <c r="C69" s="31" t="s">
        <v>627</v>
      </c>
      <c r="D69" s="30" t="s">
        <v>628</v>
      </c>
      <c r="E69" s="12">
        <v>3.0</v>
      </c>
      <c r="F69" s="13" t="s">
        <v>629</v>
      </c>
      <c r="G69" s="18" t="s">
        <v>630</v>
      </c>
      <c r="H69" s="12" t="s">
        <v>631</v>
      </c>
      <c r="I69" s="12">
        <v>2020.0</v>
      </c>
      <c r="J69" s="13" t="s">
        <v>632</v>
      </c>
      <c r="K69" s="21" t="s">
        <v>633</v>
      </c>
      <c r="L69" s="21" t="s">
        <v>634</v>
      </c>
      <c r="M69" s="21" t="s">
        <v>635</v>
      </c>
      <c r="N69" s="21" t="s">
        <v>636</v>
      </c>
      <c r="O69" s="21" t="s">
        <v>637</v>
      </c>
    </row>
    <row r="70" ht="75.0" customHeight="1">
      <c r="A70" s="30" t="s">
        <v>68</v>
      </c>
      <c r="B70" s="30" t="s">
        <v>609</v>
      </c>
      <c r="C70" s="31" t="s">
        <v>638</v>
      </c>
      <c r="D70" s="30" t="s">
        <v>639</v>
      </c>
      <c r="E70" s="12">
        <v>3.0</v>
      </c>
      <c r="F70" s="13" t="s">
        <v>640</v>
      </c>
      <c r="G70" s="26" t="s">
        <v>641</v>
      </c>
      <c r="H70" s="12" t="s">
        <v>631</v>
      </c>
      <c r="I70" s="12">
        <v>2025.0</v>
      </c>
      <c r="J70" s="13" t="s">
        <v>642</v>
      </c>
      <c r="K70" s="21" t="s">
        <v>643</v>
      </c>
      <c r="L70" s="21" t="s">
        <v>644</v>
      </c>
      <c r="M70" s="21" t="s">
        <v>645</v>
      </c>
      <c r="N70" s="21" t="s">
        <v>646</v>
      </c>
      <c r="O70" s="21" t="s">
        <v>647</v>
      </c>
    </row>
    <row r="71" ht="75.0" customHeight="1">
      <c r="A71" s="30" t="s">
        <v>68</v>
      </c>
      <c r="B71" s="30" t="s">
        <v>648</v>
      </c>
      <c r="C71" s="31" t="s">
        <v>649</v>
      </c>
      <c r="D71" s="30" t="s">
        <v>650</v>
      </c>
      <c r="E71" s="12">
        <v>3.0</v>
      </c>
      <c r="F71" s="13" t="s">
        <v>651</v>
      </c>
      <c r="G71" s="26" t="s">
        <v>652</v>
      </c>
      <c r="H71" s="12" t="s">
        <v>631</v>
      </c>
      <c r="I71" s="12">
        <v>2022.0</v>
      </c>
      <c r="J71" s="13" t="s">
        <v>653</v>
      </c>
      <c r="K71" s="21" t="s">
        <v>654</v>
      </c>
      <c r="L71" s="21" t="s">
        <v>655</v>
      </c>
      <c r="M71" s="21" t="s">
        <v>656</v>
      </c>
      <c r="N71" s="21" t="s">
        <v>657</v>
      </c>
      <c r="O71" s="21" t="s">
        <v>658</v>
      </c>
    </row>
    <row r="72" ht="75.0" customHeight="1">
      <c r="A72" s="30" t="s">
        <v>68</v>
      </c>
      <c r="B72" s="30" t="s">
        <v>648</v>
      </c>
      <c r="C72" s="31" t="s">
        <v>659</v>
      </c>
      <c r="D72" s="30" t="s">
        <v>660</v>
      </c>
      <c r="E72" s="12" t="s">
        <v>44</v>
      </c>
      <c r="F72" s="13" t="s">
        <v>45</v>
      </c>
      <c r="G72" s="20"/>
      <c r="H72" s="19"/>
      <c r="I72" s="19"/>
      <c r="J72" s="20"/>
      <c r="K72" s="21" t="s">
        <v>661</v>
      </c>
      <c r="L72" s="21" t="s">
        <v>662</v>
      </c>
      <c r="M72" s="21" t="s">
        <v>663</v>
      </c>
      <c r="N72" s="21" t="s">
        <v>664</v>
      </c>
      <c r="O72" s="21" t="s">
        <v>665</v>
      </c>
    </row>
    <row r="73" ht="75.0" customHeight="1">
      <c r="A73" s="30" t="s">
        <v>68</v>
      </c>
      <c r="B73" s="30" t="s">
        <v>648</v>
      </c>
      <c r="C73" s="31" t="s">
        <v>666</v>
      </c>
      <c r="D73" s="30" t="s">
        <v>667</v>
      </c>
      <c r="E73" s="12" t="s">
        <v>44</v>
      </c>
      <c r="F73" s="13" t="s">
        <v>45</v>
      </c>
      <c r="G73" s="20"/>
      <c r="H73" s="19"/>
      <c r="I73" s="19"/>
      <c r="J73" s="20"/>
      <c r="K73" s="21" t="s">
        <v>668</v>
      </c>
      <c r="L73" s="21" t="s">
        <v>669</v>
      </c>
      <c r="M73" s="21" t="s">
        <v>670</v>
      </c>
      <c r="N73" s="21" t="s">
        <v>671</v>
      </c>
      <c r="O73" s="21" t="s">
        <v>672</v>
      </c>
    </row>
    <row r="74" ht="75.0" customHeight="1">
      <c r="A74" s="30" t="s">
        <v>68</v>
      </c>
      <c r="B74" s="30" t="s">
        <v>648</v>
      </c>
      <c r="C74" s="31" t="s">
        <v>673</v>
      </c>
      <c r="D74" s="30" t="s">
        <v>674</v>
      </c>
      <c r="E74" s="12">
        <v>4.0</v>
      </c>
      <c r="F74" s="13" t="s">
        <v>675</v>
      </c>
      <c r="G74" s="18" t="s">
        <v>676</v>
      </c>
      <c r="H74" s="19"/>
      <c r="I74" s="12">
        <v>2020.0</v>
      </c>
      <c r="J74" s="20"/>
      <c r="K74" s="21" t="s">
        <v>677</v>
      </c>
      <c r="L74" s="21" t="s">
        <v>678</v>
      </c>
      <c r="M74" s="21" t="s">
        <v>679</v>
      </c>
      <c r="N74" s="21" t="s">
        <v>680</v>
      </c>
      <c r="O74" s="21" t="s">
        <v>681</v>
      </c>
    </row>
    <row r="75" ht="75.0" customHeight="1">
      <c r="A75" s="30" t="s">
        <v>68</v>
      </c>
      <c r="B75" s="30" t="s">
        <v>648</v>
      </c>
      <c r="C75" s="31" t="s">
        <v>682</v>
      </c>
      <c r="D75" s="30" t="s">
        <v>683</v>
      </c>
      <c r="E75" s="12">
        <v>4.0</v>
      </c>
      <c r="F75" s="13" t="s">
        <v>684</v>
      </c>
      <c r="G75" s="26" t="s">
        <v>685</v>
      </c>
      <c r="H75" s="12" t="s">
        <v>631</v>
      </c>
      <c r="I75" s="12">
        <v>2022.0</v>
      </c>
      <c r="J75" s="20"/>
      <c r="K75" s="21" t="s">
        <v>686</v>
      </c>
      <c r="L75" s="21" t="s">
        <v>687</v>
      </c>
      <c r="M75" s="21" t="s">
        <v>688</v>
      </c>
      <c r="N75" s="21" t="s">
        <v>689</v>
      </c>
      <c r="O75" s="21" t="s">
        <v>690</v>
      </c>
    </row>
    <row r="76" ht="75.0" customHeight="1">
      <c r="A76" s="30" t="s">
        <v>68</v>
      </c>
      <c r="B76" s="30" t="s">
        <v>648</v>
      </c>
      <c r="C76" s="31" t="s">
        <v>691</v>
      </c>
      <c r="D76" s="30" t="s">
        <v>692</v>
      </c>
      <c r="E76" s="12" t="s">
        <v>44</v>
      </c>
      <c r="F76" s="13" t="s">
        <v>45</v>
      </c>
      <c r="G76" s="20"/>
      <c r="H76" s="19"/>
      <c r="I76" s="19"/>
      <c r="J76" s="20"/>
      <c r="K76" s="21" t="s">
        <v>693</v>
      </c>
      <c r="L76" s="21" t="s">
        <v>694</v>
      </c>
      <c r="M76" s="21" t="s">
        <v>695</v>
      </c>
      <c r="N76" s="21" t="s">
        <v>696</v>
      </c>
      <c r="O76" s="21" t="s">
        <v>697</v>
      </c>
    </row>
    <row r="77" ht="75.0" customHeight="1">
      <c r="A77" s="30" t="s">
        <v>68</v>
      </c>
      <c r="B77" s="30" t="s">
        <v>648</v>
      </c>
      <c r="C77" s="31" t="s">
        <v>698</v>
      </c>
      <c r="D77" s="30" t="s">
        <v>699</v>
      </c>
      <c r="E77" s="12">
        <v>4.0</v>
      </c>
      <c r="F77" s="13" t="s">
        <v>700</v>
      </c>
      <c r="G77" s="26" t="s">
        <v>701</v>
      </c>
      <c r="H77" s="12">
        <v>24.0</v>
      </c>
      <c r="I77" s="12">
        <v>2025.0</v>
      </c>
      <c r="J77" s="20"/>
      <c r="K77" s="21" t="s">
        <v>702</v>
      </c>
      <c r="L77" s="21" t="s">
        <v>703</v>
      </c>
      <c r="M77" s="21" t="s">
        <v>704</v>
      </c>
      <c r="N77" s="21" t="s">
        <v>705</v>
      </c>
      <c r="O77" s="21" t="s">
        <v>706</v>
      </c>
    </row>
    <row r="78" ht="75.0" customHeight="1">
      <c r="A78" s="30" t="s">
        <v>68</v>
      </c>
      <c r="B78" s="30" t="s">
        <v>648</v>
      </c>
      <c r="C78" s="31" t="s">
        <v>707</v>
      </c>
      <c r="D78" s="30" t="s">
        <v>708</v>
      </c>
      <c r="E78" s="12" t="s">
        <v>44</v>
      </c>
      <c r="F78" s="13" t="s">
        <v>709</v>
      </c>
      <c r="G78" s="20"/>
      <c r="H78" s="19"/>
      <c r="I78" s="19"/>
      <c r="J78" s="20"/>
      <c r="K78" s="21" t="s">
        <v>710</v>
      </c>
      <c r="L78" s="21" t="s">
        <v>711</v>
      </c>
      <c r="M78" s="21" t="s">
        <v>712</v>
      </c>
      <c r="N78" s="21" t="s">
        <v>713</v>
      </c>
      <c r="O78" s="21" t="s">
        <v>714</v>
      </c>
    </row>
    <row r="79" ht="75.0" customHeight="1">
      <c r="A79" s="30" t="s">
        <v>68</v>
      </c>
      <c r="B79" s="30" t="s">
        <v>648</v>
      </c>
      <c r="C79" s="31" t="s">
        <v>715</v>
      </c>
      <c r="D79" s="30" t="s">
        <v>716</v>
      </c>
      <c r="E79" s="12">
        <v>5.0</v>
      </c>
      <c r="F79" s="13" t="s">
        <v>717</v>
      </c>
      <c r="G79" s="26" t="s">
        <v>718</v>
      </c>
      <c r="H79" s="19"/>
      <c r="I79" s="12">
        <v>2025.0</v>
      </c>
      <c r="J79" s="20"/>
      <c r="K79" s="21" t="s">
        <v>719</v>
      </c>
      <c r="L79" s="21" t="s">
        <v>720</v>
      </c>
      <c r="M79" s="21" t="s">
        <v>721</v>
      </c>
      <c r="N79" s="21" t="s">
        <v>722</v>
      </c>
      <c r="O79" s="21" t="s">
        <v>723</v>
      </c>
    </row>
    <row r="80" ht="75.0" customHeight="1">
      <c r="A80" s="32" t="s">
        <v>86</v>
      </c>
      <c r="B80" s="32" t="s">
        <v>724</v>
      </c>
      <c r="C80" s="33" t="s">
        <v>725</v>
      </c>
      <c r="D80" s="32" t="s">
        <v>726</v>
      </c>
      <c r="E80" s="12">
        <v>4.0</v>
      </c>
      <c r="F80" s="13" t="s">
        <v>727</v>
      </c>
      <c r="G80" s="26" t="s">
        <v>728</v>
      </c>
      <c r="H80" s="12" t="s">
        <v>631</v>
      </c>
      <c r="I80" s="12">
        <v>2024.0</v>
      </c>
      <c r="J80" s="20"/>
      <c r="K80" s="21" t="s">
        <v>729</v>
      </c>
      <c r="L80" s="21" t="s">
        <v>730</v>
      </c>
      <c r="M80" s="21" t="s">
        <v>731</v>
      </c>
      <c r="N80" s="21" t="s">
        <v>732</v>
      </c>
      <c r="O80" s="21" t="s">
        <v>733</v>
      </c>
    </row>
    <row r="81" ht="75.0" customHeight="1">
      <c r="A81" s="32" t="s">
        <v>86</v>
      </c>
      <c r="B81" s="32" t="s">
        <v>724</v>
      </c>
      <c r="C81" s="33" t="s">
        <v>734</v>
      </c>
      <c r="D81" s="32" t="s">
        <v>735</v>
      </c>
      <c r="E81" s="12">
        <v>4.0</v>
      </c>
      <c r="F81" s="13" t="s">
        <v>736</v>
      </c>
      <c r="G81" s="26" t="s">
        <v>57</v>
      </c>
      <c r="H81" s="12" t="s">
        <v>737</v>
      </c>
      <c r="I81" s="12">
        <v>2025.0</v>
      </c>
      <c r="J81" s="13"/>
      <c r="K81" s="21" t="s">
        <v>738</v>
      </c>
      <c r="L81" s="21" t="s">
        <v>739</v>
      </c>
      <c r="M81" s="21" t="s">
        <v>740</v>
      </c>
      <c r="N81" s="21" t="s">
        <v>741</v>
      </c>
      <c r="O81" s="21" t="s">
        <v>742</v>
      </c>
    </row>
    <row r="82" ht="75.0" customHeight="1">
      <c r="A82" s="32" t="s">
        <v>86</v>
      </c>
      <c r="B82" s="32" t="s">
        <v>724</v>
      </c>
      <c r="C82" s="33" t="s">
        <v>743</v>
      </c>
      <c r="D82" s="32" t="s">
        <v>744</v>
      </c>
      <c r="E82" s="12">
        <v>4.0</v>
      </c>
      <c r="F82" s="13" t="s">
        <v>745</v>
      </c>
      <c r="G82" s="26" t="s">
        <v>746</v>
      </c>
      <c r="H82" s="12" t="s">
        <v>747</v>
      </c>
      <c r="I82" s="12">
        <v>2025.0</v>
      </c>
      <c r="J82" s="13"/>
      <c r="K82" s="21" t="s">
        <v>748</v>
      </c>
      <c r="L82" s="21" t="s">
        <v>749</v>
      </c>
      <c r="M82" s="21" t="s">
        <v>750</v>
      </c>
      <c r="N82" s="21" t="s">
        <v>751</v>
      </c>
      <c r="O82" s="21" t="s">
        <v>752</v>
      </c>
    </row>
    <row r="83" ht="75.0" customHeight="1">
      <c r="A83" s="32" t="s">
        <v>86</v>
      </c>
      <c r="B83" s="32" t="s">
        <v>724</v>
      </c>
      <c r="C83" s="33" t="s">
        <v>753</v>
      </c>
      <c r="D83" s="32" t="s">
        <v>754</v>
      </c>
      <c r="E83" s="12">
        <v>4.0</v>
      </c>
      <c r="F83" s="13" t="s">
        <v>755</v>
      </c>
      <c r="G83" s="18" t="s">
        <v>756</v>
      </c>
      <c r="H83" s="12" t="s">
        <v>631</v>
      </c>
      <c r="I83" s="12">
        <v>2022.0</v>
      </c>
      <c r="J83" s="13"/>
      <c r="K83" s="21" t="s">
        <v>757</v>
      </c>
      <c r="L83" s="21" t="s">
        <v>758</v>
      </c>
      <c r="M83" s="21" t="s">
        <v>759</v>
      </c>
      <c r="N83" s="21" t="s">
        <v>760</v>
      </c>
      <c r="O83" s="21" t="s">
        <v>761</v>
      </c>
    </row>
    <row r="84" ht="75.0" customHeight="1">
      <c r="A84" s="32" t="s">
        <v>86</v>
      </c>
      <c r="B84" s="32" t="s">
        <v>762</v>
      </c>
      <c r="C84" s="33" t="s">
        <v>763</v>
      </c>
      <c r="D84" s="32" t="s">
        <v>764</v>
      </c>
      <c r="E84" s="12">
        <v>4.0</v>
      </c>
      <c r="F84" s="13" t="s">
        <v>765</v>
      </c>
      <c r="G84" s="26" t="s">
        <v>766</v>
      </c>
      <c r="H84" s="12" t="s">
        <v>631</v>
      </c>
      <c r="I84" s="12">
        <v>2025.0</v>
      </c>
      <c r="J84" s="20"/>
      <c r="K84" s="21" t="s">
        <v>767</v>
      </c>
      <c r="L84" s="21" t="s">
        <v>768</v>
      </c>
      <c r="M84" s="21" t="s">
        <v>769</v>
      </c>
      <c r="N84" s="21" t="s">
        <v>770</v>
      </c>
      <c r="O84" s="21" t="s">
        <v>771</v>
      </c>
    </row>
    <row r="85" ht="75.0" customHeight="1">
      <c r="A85" s="32" t="s">
        <v>86</v>
      </c>
      <c r="B85" s="32" t="s">
        <v>762</v>
      </c>
      <c r="C85" s="33" t="s">
        <v>772</v>
      </c>
      <c r="D85" s="32" t="s">
        <v>773</v>
      </c>
      <c r="E85" s="12">
        <v>3.0</v>
      </c>
      <c r="F85" s="13" t="s">
        <v>774</v>
      </c>
      <c r="G85" s="18" t="s">
        <v>775</v>
      </c>
      <c r="H85" s="12" t="s">
        <v>631</v>
      </c>
      <c r="I85" s="12">
        <v>2025.0</v>
      </c>
      <c r="J85" s="13"/>
      <c r="K85" s="21" t="s">
        <v>776</v>
      </c>
      <c r="L85" s="21" t="s">
        <v>777</v>
      </c>
      <c r="M85" s="21" t="s">
        <v>778</v>
      </c>
      <c r="N85" s="21" t="s">
        <v>779</v>
      </c>
      <c r="O85" s="21" t="s">
        <v>780</v>
      </c>
    </row>
    <row r="86" ht="75.0" customHeight="1">
      <c r="A86" s="32" t="s">
        <v>86</v>
      </c>
      <c r="B86" s="32" t="s">
        <v>762</v>
      </c>
      <c r="C86" s="33" t="s">
        <v>781</v>
      </c>
      <c r="D86" s="32" t="s">
        <v>782</v>
      </c>
      <c r="E86" s="12">
        <v>3.0</v>
      </c>
      <c r="F86" s="13" t="s">
        <v>783</v>
      </c>
      <c r="G86" s="26" t="s">
        <v>784</v>
      </c>
      <c r="H86" s="12" t="s">
        <v>631</v>
      </c>
      <c r="I86" s="12">
        <v>2023.0</v>
      </c>
      <c r="J86" s="13"/>
      <c r="K86" s="21" t="s">
        <v>785</v>
      </c>
      <c r="L86" s="21" t="s">
        <v>786</v>
      </c>
      <c r="M86" s="21" t="s">
        <v>787</v>
      </c>
      <c r="N86" s="21" t="s">
        <v>788</v>
      </c>
      <c r="O86" s="21" t="s">
        <v>789</v>
      </c>
    </row>
    <row r="87" ht="75.0" customHeight="1">
      <c r="A87" s="32" t="s">
        <v>86</v>
      </c>
      <c r="B87" s="32" t="s">
        <v>762</v>
      </c>
      <c r="C87" s="33" t="s">
        <v>790</v>
      </c>
      <c r="D87" s="32" t="s">
        <v>791</v>
      </c>
      <c r="E87" s="12">
        <v>4.0</v>
      </c>
      <c r="F87" s="13" t="s">
        <v>792</v>
      </c>
      <c r="G87" s="26" t="s">
        <v>793</v>
      </c>
      <c r="H87" s="12" t="s">
        <v>631</v>
      </c>
      <c r="I87" s="12">
        <v>2025.0</v>
      </c>
      <c r="J87" s="13" t="s">
        <v>794</v>
      </c>
      <c r="K87" s="21" t="s">
        <v>795</v>
      </c>
      <c r="L87" s="21" t="s">
        <v>796</v>
      </c>
      <c r="M87" s="21" t="s">
        <v>797</v>
      </c>
      <c r="N87" s="21" t="s">
        <v>798</v>
      </c>
      <c r="O87" s="21" t="s">
        <v>799</v>
      </c>
    </row>
    <row r="88" ht="75.0" customHeight="1">
      <c r="A88" s="32" t="s">
        <v>86</v>
      </c>
      <c r="B88" s="32" t="s">
        <v>762</v>
      </c>
      <c r="C88" s="33" t="s">
        <v>800</v>
      </c>
      <c r="D88" s="32" t="s">
        <v>801</v>
      </c>
      <c r="E88" s="12">
        <v>5.0</v>
      </c>
      <c r="F88" s="13" t="s">
        <v>802</v>
      </c>
      <c r="G88" s="26" t="s">
        <v>803</v>
      </c>
      <c r="H88" s="12" t="s">
        <v>631</v>
      </c>
      <c r="I88" s="12">
        <v>2025.0</v>
      </c>
      <c r="J88" s="20"/>
      <c r="K88" s="21" t="s">
        <v>804</v>
      </c>
      <c r="L88" s="21" t="s">
        <v>805</v>
      </c>
      <c r="M88" s="21" t="s">
        <v>806</v>
      </c>
      <c r="N88" s="21" t="s">
        <v>807</v>
      </c>
      <c r="O88" s="21" t="s">
        <v>808</v>
      </c>
    </row>
    <row r="89" ht="75.0" customHeight="1">
      <c r="A89" s="32" t="s">
        <v>86</v>
      </c>
      <c r="B89" s="32" t="s">
        <v>762</v>
      </c>
      <c r="C89" s="33" t="s">
        <v>809</v>
      </c>
      <c r="D89" s="32" t="s">
        <v>810</v>
      </c>
      <c r="E89" s="12">
        <v>5.0</v>
      </c>
      <c r="F89" s="13" t="s">
        <v>811</v>
      </c>
      <c r="G89" s="26" t="s">
        <v>812</v>
      </c>
      <c r="H89" s="12" t="s">
        <v>631</v>
      </c>
      <c r="I89" s="12">
        <v>2025.0</v>
      </c>
      <c r="J89" s="20"/>
      <c r="K89" s="21" t="s">
        <v>813</v>
      </c>
      <c r="L89" s="21" t="s">
        <v>814</v>
      </c>
      <c r="M89" s="21" t="s">
        <v>815</v>
      </c>
      <c r="N89" s="21" t="s">
        <v>816</v>
      </c>
      <c r="O89" s="21" t="s">
        <v>817</v>
      </c>
    </row>
    <row r="90" ht="75.0" customHeight="1">
      <c r="A90" s="32" t="s">
        <v>86</v>
      </c>
      <c r="B90" s="32" t="s">
        <v>818</v>
      </c>
      <c r="C90" s="33" t="s">
        <v>819</v>
      </c>
      <c r="D90" s="32" t="s">
        <v>820</v>
      </c>
      <c r="E90" s="12">
        <v>3.0</v>
      </c>
      <c r="F90" s="13" t="s">
        <v>821</v>
      </c>
      <c r="G90" s="18" t="s">
        <v>822</v>
      </c>
      <c r="H90" s="12" t="s">
        <v>631</v>
      </c>
      <c r="I90" s="12">
        <v>2018.0</v>
      </c>
      <c r="J90" s="13"/>
      <c r="K90" s="21" t="s">
        <v>823</v>
      </c>
      <c r="L90" s="21" t="s">
        <v>824</v>
      </c>
      <c r="M90" s="21" t="s">
        <v>825</v>
      </c>
      <c r="N90" s="21" t="s">
        <v>826</v>
      </c>
      <c r="O90" s="21" t="s">
        <v>827</v>
      </c>
    </row>
    <row r="91" ht="75.0" customHeight="1">
      <c r="A91" s="32" t="s">
        <v>86</v>
      </c>
      <c r="B91" s="32" t="s">
        <v>818</v>
      </c>
      <c r="C91" s="33" t="s">
        <v>828</v>
      </c>
      <c r="D91" s="32" t="s">
        <v>829</v>
      </c>
      <c r="E91" s="12">
        <v>3.0</v>
      </c>
      <c r="F91" s="13" t="s">
        <v>830</v>
      </c>
      <c r="G91" s="18" t="s">
        <v>630</v>
      </c>
      <c r="H91" s="12" t="s">
        <v>631</v>
      </c>
      <c r="I91" s="12">
        <v>2020.0</v>
      </c>
      <c r="J91" s="13"/>
      <c r="K91" s="21" t="s">
        <v>831</v>
      </c>
      <c r="L91" s="21" t="s">
        <v>832</v>
      </c>
      <c r="M91" s="21" t="s">
        <v>833</v>
      </c>
      <c r="N91" s="21" t="s">
        <v>834</v>
      </c>
      <c r="O91" s="21" t="s">
        <v>835</v>
      </c>
    </row>
    <row r="92" ht="75.0" customHeight="1">
      <c r="A92" s="32" t="s">
        <v>86</v>
      </c>
      <c r="B92" s="32" t="s">
        <v>818</v>
      </c>
      <c r="C92" s="33" t="s">
        <v>836</v>
      </c>
      <c r="D92" s="32" t="s">
        <v>837</v>
      </c>
      <c r="E92" s="12" t="s">
        <v>44</v>
      </c>
      <c r="F92" s="13" t="s">
        <v>45</v>
      </c>
      <c r="G92" s="20"/>
      <c r="H92" s="19"/>
      <c r="I92" s="19"/>
      <c r="J92" s="20"/>
      <c r="K92" s="21" t="s">
        <v>838</v>
      </c>
      <c r="L92" s="21" t="s">
        <v>839</v>
      </c>
      <c r="M92" s="21" t="s">
        <v>840</v>
      </c>
      <c r="N92" s="21" t="s">
        <v>841</v>
      </c>
      <c r="O92" s="21" t="s">
        <v>842</v>
      </c>
    </row>
    <row r="93" ht="75.0" customHeight="1">
      <c r="A93" s="32" t="s">
        <v>86</v>
      </c>
      <c r="B93" s="32" t="s">
        <v>818</v>
      </c>
      <c r="C93" s="33" t="s">
        <v>843</v>
      </c>
      <c r="D93" s="32" t="s">
        <v>844</v>
      </c>
      <c r="E93" s="12">
        <v>4.0</v>
      </c>
      <c r="F93" s="13" t="s">
        <v>845</v>
      </c>
      <c r="G93" s="18" t="s">
        <v>630</v>
      </c>
      <c r="H93" s="12" t="s">
        <v>631</v>
      </c>
      <c r="I93" s="12">
        <v>2020.0</v>
      </c>
      <c r="J93" s="13"/>
      <c r="K93" s="21" t="s">
        <v>846</v>
      </c>
      <c r="L93" s="21" t="s">
        <v>847</v>
      </c>
      <c r="M93" s="21" t="s">
        <v>848</v>
      </c>
      <c r="N93" s="21" t="s">
        <v>849</v>
      </c>
      <c r="O93" s="21" t="s">
        <v>850</v>
      </c>
    </row>
    <row r="94" ht="75.0" customHeight="1">
      <c r="A94" s="32" t="s">
        <v>86</v>
      </c>
      <c r="B94" s="32" t="s">
        <v>851</v>
      </c>
      <c r="C94" s="33" t="s">
        <v>852</v>
      </c>
      <c r="D94" s="32" t="s">
        <v>853</v>
      </c>
      <c r="E94" s="12">
        <v>4.0</v>
      </c>
      <c r="F94" s="13" t="s">
        <v>854</v>
      </c>
      <c r="G94" s="26" t="s">
        <v>855</v>
      </c>
      <c r="H94" s="12" t="s">
        <v>631</v>
      </c>
      <c r="I94" s="12">
        <v>2022.0</v>
      </c>
      <c r="J94" s="20"/>
      <c r="K94" s="21" t="s">
        <v>856</v>
      </c>
      <c r="L94" s="21" t="s">
        <v>857</v>
      </c>
      <c r="M94" s="21" t="s">
        <v>858</v>
      </c>
      <c r="N94" s="21" t="s">
        <v>859</v>
      </c>
      <c r="O94" s="21" t="s">
        <v>860</v>
      </c>
    </row>
    <row r="95" ht="75.0" customHeight="1">
      <c r="A95" s="32" t="s">
        <v>86</v>
      </c>
      <c r="B95" s="32" t="s">
        <v>851</v>
      </c>
      <c r="C95" s="33" t="s">
        <v>861</v>
      </c>
      <c r="D95" s="32" t="s">
        <v>862</v>
      </c>
      <c r="E95" s="12" t="s">
        <v>44</v>
      </c>
      <c r="F95" s="13" t="s">
        <v>45</v>
      </c>
      <c r="G95" s="20"/>
      <c r="H95" s="19"/>
      <c r="I95" s="19"/>
      <c r="J95" s="20"/>
      <c r="K95" s="21" t="s">
        <v>863</v>
      </c>
      <c r="L95" s="21" t="s">
        <v>864</v>
      </c>
      <c r="M95" s="21" t="s">
        <v>865</v>
      </c>
      <c r="N95" s="21" t="s">
        <v>866</v>
      </c>
      <c r="O95" s="21" t="s">
        <v>867</v>
      </c>
    </row>
    <row r="96" ht="75.0" customHeight="1">
      <c r="A96" s="32" t="s">
        <v>86</v>
      </c>
      <c r="B96" s="32" t="s">
        <v>851</v>
      </c>
      <c r="C96" s="33" t="s">
        <v>868</v>
      </c>
      <c r="D96" s="32" t="s">
        <v>869</v>
      </c>
      <c r="E96" s="12" t="s">
        <v>44</v>
      </c>
      <c r="F96" s="13" t="s">
        <v>45</v>
      </c>
      <c r="G96" s="20"/>
      <c r="H96" s="19"/>
      <c r="I96" s="19"/>
      <c r="J96" s="13"/>
      <c r="K96" s="21" t="s">
        <v>870</v>
      </c>
      <c r="L96" s="21" t="s">
        <v>871</v>
      </c>
      <c r="M96" s="21" t="s">
        <v>872</v>
      </c>
      <c r="N96" s="21" t="s">
        <v>873</v>
      </c>
      <c r="O96" s="21" t="s">
        <v>874</v>
      </c>
    </row>
    <row r="97" ht="75.0" customHeight="1">
      <c r="A97" s="32" t="s">
        <v>86</v>
      </c>
      <c r="B97" s="32" t="s">
        <v>851</v>
      </c>
      <c r="C97" s="33" t="s">
        <v>875</v>
      </c>
      <c r="D97" s="32" t="s">
        <v>876</v>
      </c>
      <c r="E97" s="12">
        <v>4.0</v>
      </c>
      <c r="F97" s="13" t="s">
        <v>877</v>
      </c>
      <c r="G97" s="26" t="s">
        <v>878</v>
      </c>
      <c r="H97" s="12" t="s">
        <v>631</v>
      </c>
      <c r="I97" s="12">
        <v>2025.0</v>
      </c>
      <c r="J97" s="20"/>
      <c r="K97" s="21" t="s">
        <v>879</v>
      </c>
      <c r="L97" s="21" t="s">
        <v>880</v>
      </c>
      <c r="M97" s="21" t="s">
        <v>881</v>
      </c>
      <c r="N97" s="21" t="s">
        <v>882</v>
      </c>
      <c r="O97" s="21" t="s">
        <v>883</v>
      </c>
    </row>
    <row r="98" ht="75.0" customHeight="1">
      <c r="A98" s="32" t="s">
        <v>86</v>
      </c>
      <c r="B98" s="32" t="s">
        <v>851</v>
      </c>
      <c r="C98" s="33" t="s">
        <v>884</v>
      </c>
      <c r="D98" s="32" t="s">
        <v>885</v>
      </c>
      <c r="E98" s="12">
        <v>4.0</v>
      </c>
      <c r="F98" s="13" t="s">
        <v>886</v>
      </c>
      <c r="G98" s="26" t="s">
        <v>887</v>
      </c>
      <c r="H98" s="12" t="s">
        <v>888</v>
      </c>
      <c r="I98" s="12">
        <v>2026.0</v>
      </c>
      <c r="J98" s="13"/>
      <c r="K98" s="21" t="s">
        <v>889</v>
      </c>
      <c r="L98" s="21" t="s">
        <v>890</v>
      </c>
      <c r="M98" s="21" t="s">
        <v>891</v>
      </c>
      <c r="N98" s="21" t="s">
        <v>892</v>
      </c>
      <c r="O98" s="21" t="s">
        <v>893</v>
      </c>
    </row>
    <row r="99" ht="75.0" customHeight="1">
      <c r="A99" s="32" t="s">
        <v>86</v>
      </c>
      <c r="B99" s="32" t="s">
        <v>851</v>
      </c>
      <c r="C99" s="33" t="s">
        <v>894</v>
      </c>
      <c r="D99" s="32" t="s">
        <v>895</v>
      </c>
      <c r="E99" s="12" t="s">
        <v>44</v>
      </c>
      <c r="F99" s="13" t="s">
        <v>45</v>
      </c>
      <c r="G99" s="20"/>
      <c r="H99" s="19"/>
      <c r="I99" s="19"/>
      <c r="J99" s="20"/>
      <c r="K99" s="21" t="s">
        <v>896</v>
      </c>
      <c r="L99" s="21" t="s">
        <v>897</v>
      </c>
      <c r="M99" s="21" t="s">
        <v>898</v>
      </c>
      <c r="N99" s="21" t="s">
        <v>899</v>
      </c>
      <c r="O99" s="21" t="s">
        <v>900</v>
      </c>
    </row>
    <row r="100" ht="75.0" customHeight="1">
      <c r="A100" s="32" t="s">
        <v>86</v>
      </c>
      <c r="B100" s="32" t="s">
        <v>851</v>
      </c>
      <c r="C100" s="33" t="s">
        <v>901</v>
      </c>
      <c r="D100" s="32" t="s">
        <v>902</v>
      </c>
      <c r="E100" s="12">
        <v>5.0</v>
      </c>
      <c r="F100" s="13" t="s">
        <v>903</v>
      </c>
      <c r="G100" s="26" t="s">
        <v>904</v>
      </c>
      <c r="H100" s="12" t="s">
        <v>631</v>
      </c>
      <c r="I100" s="12">
        <v>2026.0</v>
      </c>
      <c r="J100" s="20"/>
      <c r="K100" s="21" t="s">
        <v>905</v>
      </c>
      <c r="L100" s="21" t="s">
        <v>906</v>
      </c>
      <c r="M100" s="21" t="s">
        <v>907</v>
      </c>
      <c r="N100" s="21" t="s">
        <v>908</v>
      </c>
      <c r="O100" s="21" t="s">
        <v>909</v>
      </c>
    </row>
    <row r="101" ht="75.0" customHeight="1">
      <c r="A101" s="32" t="s">
        <v>86</v>
      </c>
      <c r="B101" s="32" t="s">
        <v>851</v>
      </c>
      <c r="C101" s="33" t="s">
        <v>910</v>
      </c>
      <c r="D101" s="32" t="s">
        <v>911</v>
      </c>
      <c r="E101" s="12">
        <v>4.0</v>
      </c>
      <c r="F101" s="13" t="s">
        <v>912</v>
      </c>
      <c r="G101" s="26" t="s">
        <v>913</v>
      </c>
      <c r="H101" s="12" t="s">
        <v>631</v>
      </c>
      <c r="I101" s="12">
        <v>2025.0</v>
      </c>
      <c r="J101" s="20"/>
      <c r="K101" s="21" t="s">
        <v>914</v>
      </c>
      <c r="L101" s="21" t="s">
        <v>915</v>
      </c>
      <c r="M101" s="21" t="s">
        <v>916</v>
      </c>
      <c r="N101" s="21" t="s">
        <v>917</v>
      </c>
      <c r="O101" s="21" t="s">
        <v>918</v>
      </c>
    </row>
    <row r="102" ht="75.0" customHeight="1">
      <c r="A102" s="20" t="s">
        <v>95</v>
      </c>
      <c r="B102" s="20" t="s">
        <v>919</v>
      </c>
      <c r="C102" s="34" t="s">
        <v>920</v>
      </c>
      <c r="D102" s="20" t="s">
        <v>921</v>
      </c>
      <c r="E102" s="12">
        <v>4.0</v>
      </c>
      <c r="F102" s="13" t="s">
        <v>922</v>
      </c>
      <c r="G102" s="26" t="s">
        <v>923</v>
      </c>
      <c r="H102" s="12" t="s">
        <v>631</v>
      </c>
      <c r="I102" s="12">
        <v>2022.0</v>
      </c>
      <c r="J102" s="20"/>
      <c r="K102" s="21" t="s">
        <v>924</v>
      </c>
      <c r="L102" s="21" t="s">
        <v>925</v>
      </c>
      <c r="M102" s="21" t="s">
        <v>926</v>
      </c>
      <c r="N102" s="21" t="s">
        <v>927</v>
      </c>
      <c r="O102" s="21" t="s">
        <v>928</v>
      </c>
    </row>
    <row r="103" ht="75.0" customHeight="1">
      <c r="A103" s="20" t="s">
        <v>95</v>
      </c>
      <c r="B103" s="20" t="s">
        <v>919</v>
      </c>
      <c r="C103" s="34" t="s">
        <v>929</v>
      </c>
      <c r="D103" s="20" t="s">
        <v>930</v>
      </c>
      <c r="E103" s="12">
        <v>3.0</v>
      </c>
      <c r="F103" s="13" t="s">
        <v>931</v>
      </c>
      <c r="G103" s="18" t="s">
        <v>932</v>
      </c>
      <c r="H103" s="12" t="s">
        <v>631</v>
      </c>
      <c r="I103" s="12">
        <v>2023.0</v>
      </c>
      <c r="J103" s="20"/>
      <c r="K103" s="21" t="s">
        <v>933</v>
      </c>
      <c r="L103" s="21" t="s">
        <v>934</v>
      </c>
      <c r="M103" s="21" t="s">
        <v>935</v>
      </c>
      <c r="N103" s="21" t="s">
        <v>936</v>
      </c>
      <c r="O103" s="21" t="s">
        <v>937</v>
      </c>
    </row>
    <row r="104" ht="75.0" customHeight="1">
      <c r="A104" s="20" t="s">
        <v>95</v>
      </c>
      <c r="B104" s="20" t="s">
        <v>919</v>
      </c>
      <c r="C104" s="34" t="s">
        <v>938</v>
      </c>
      <c r="D104" s="20" t="s">
        <v>939</v>
      </c>
      <c r="E104" s="12">
        <v>4.0</v>
      </c>
      <c r="F104" s="13" t="s">
        <v>940</v>
      </c>
      <c r="G104" s="26" t="s">
        <v>941</v>
      </c>
      <c r="H104" s="12" t="s">
        <v>888</v>
      </c>
      <c r="I104" s="12">
        <v>2025.0</v>
      </c>
      <c r="J104" s="13"/>
      <c r="K104" s="21" t="s">
        <v>942</v>
      </c>
      <c r="L104" s="21" t="s">
        <v>943</v>
      </c>
      <c r="M104" s="21" t="s">
        <v>944</v>
      </c>
      <c r="N104" s="21" t="s">
        <v>945</v>
      </c>
      <c r="O104" s="21" t="s">
        <v>946</v>
      </c>
    </row>
    <row r="105" ht="75.0" customHeight="1">
      <c r="A105" s="20" t="s">
        <v>95</v>
      </c>
      <c r="B105" s="20" t="s">
        <v>919</v>
      </c>
      <c r="C105" s="34" t="s">
        <v>947</v>
      </c>
      <c r="D105" s="20" t="s">
        <v>948</v>
      </c>
      <c r="E105" s="12" t="s">
        <v>44</v>
      </c>
      <c r="F105" s="13" t="s">
        <v>45</v>
      </c>
      <c r="G105" s="20"/>
      <c r="H105" s="19"/>
      <c r="I105" s="19"/>
      <c r="J105" s="20"/>
      <c r="K105" s="21" t="s">
        <v>949</v>
      </c>
      <c r="L105" s="21" t="s">
        <v>950</v>
      </c>
      <c r="M105" s="21" t="s">
        <v>951</v>
      </c>
      <c r="N105" s="21" t="s">
        <v>952</v>
      </c>
      <c r="O105" s="21" t="s">
        <v>953</v>
      </c>
    </row>
    <row r="106" ht="75.0" customHeight="1">
      <c r="A106" s="20" t="s">
        <v>95</v>
      </c>
      <c r="B106" s="20" t="s">
        <v>919</v>
      </c>
      <c r="C106" s="34" t="s">
        <v>954</v>
      </c>
      <c r="D106" s="20" t="s">
        <v>955</v>
      </c>
      <c r="E106" s="12">
        <v>3.0</v>
      </c>
      <c r="F106" s="13" t="s">
        <v>956</v>
      </c>
      <c r="G106" s="26" t="s">
        <v>957</v>
      </c>
      <c r="H106" s="12" t="s">
        <v>631</v>
      </c>
      <c r="I106" s="12">
        <v>2025.0</v>
      </c>
      <c r="J106" s="13" t="s">
        <v>958</v>
      </c>
      <c r="K106" s="21" t="s">
        <v>959</v>
      </c>
      <c r="L106" s="21" t="s">
        <v>960</v>
      </c>
      <c r="M106" s="21" t="s">
        <v>961</v>
      </c>
      <c r="N106" s="21" t="s">
        <v>962</v>
      </c>
      <c r="O106" s="21" t="s">
        <v>963</v>
      </c>
    </row>
    <row r="107" ht="75.0" customHeight="1">
      <c r="A107" s="20" t="s">
        <v>95</v>
      </c>
      <c r="B107" s="20" t="s">
        <v>919</v>
      </c>
      <c r="C107" s="34" t="s">
        <v>964</v>
      </c>
      <c r="D107" s="20" t="s">
        <v>965</v>
      </c>
      <c r="E107" s="12" t="s">
        <v>44</v>
      </c>
      <c r="F107" s="13" t="s">
        <v>45</v>
      </c>
      <c r="G107" s="20"/>
      <c r="H107" s="19"/>
      <c r="I107" s="19"/>
      <c r="J107" s="13" t="s">
        <v>966</v>
      </c>
      <c r="K107" s="21" t="s">
        <v>967</v>
      </c>
      <c r="L107" s="21" t="s">
        <v>968</v>
      </c>
      <c r="M107" s="21" t="s">
        <v>969</v>
      </c>
      <c r="N107" s="21" t="s">
        <v>970</v>
      </c>
      <c r="O107" s="21" t="s">
        <v>971</v>
      </c>
    </row>
    <row r="108" ht="75.0" customHeight="1">
      <c r="A108" s="20" t="s">
        <v>95</v>
      </c>
      <c r="B108" s="20" t="s">
        <v>972</v>
      </c>
      <c r="C108" s="34" t="s">
        <v>973</v>
      </c>
      <c r="D108" s="20" t="s">
        <v>974</v>
      </c>
      <c r="E108" s="12">
        <v>3.0</v>
      </c>
      <c r="F108" s="13" t="s">
        <v>975</v>
      </c>
      <c r="G108" s="26" t="s">
        <v>976</v>
      </c>
      <c r="H108" s="12" t="s">
        <v>888</v>
      </c>
      <c r="I108" s="12">
        <v>2025.0</v>
      </c>
      <c r="J108" s="13"/>
      <c r="K108" s="21" t="s">
        <v>977</v>
      </c>
      <c r="L108" s="21" t="s">
        <v>978</v>
      </c>
      <c r="M108" s="21" t="s">
        <v>979</v>
      </c>
      <c r="N108" s="21" t="s">
        <v>980</v>
      </c>
      <c r="O108" s="21" t="s">
        <v>981</v>
      </c>
    </row>
    <row r="109" ht="75.0" customHeight="1">
      <c r="A109" s="20" t="s">
        <v>95</v>
      </c>
      <c r="B109" s="20" t="s">
        <v>972</v>
      </c>
      <c r="C109" s="34" t="s">
        <v>982</v>
      </c>
      <c r="D109" s="20" t="s">
        <v>983</v>
      </c>
      <c r="E109" s="12">
        <v>3.0</v>
      </c>
      <c r="F109" s="13" t="s">
        <v>984</v>
      </c>
      <c r="G109" s="18" t="s">
        <v>932</v>
      </c>
      <c r="H109" s="12" t="s">
        <v>631</v>
      </c>
      <c r="I109" s="12">
        <v>2023.0</v>
      </c>
      <c r="J109" s="20"/>
      <c r="K109" s="21" t="s">
        <v>985</v>
      </c>
      <c r="L109" s="21" t="s">
        <v>986</v>
      </c>
      <c r="M109" s="21" t="s">
        <v>987</v>
      </c>
      <c r="N109" s="21" t="s">
        <v>988</v>
      </c>
      <c r="O109" s="21" t="s">
        <v>989</v>
      </c>
    </row>
    <row r="110" ht="75.0" customHeight="1">
      <c r="A110" s="20" t="s">
        <v>95</v>
      </c>
      <c r="B110" s="20" t="s">
        <v>972</v>
      </c>
      <c r="C110" s="34" t="s">
        <v>990</v>
      </c>
      <c r="D110" s="20" t="s">
        <v>991</v>
      </c>
      <c r="E110" s="12">
        <v>3.0</v>
      </c>
      <c r="F110" s="13" t="s">
        <v>992</v>
      </c>
      <c r="G110" s="26" t="s">
        <v>993</v>
      </c>
      <c r="H110" s="12" t="s">
        <v>994</v>
      </c>
      <c r="I110" s="12">
        <v>2025.0</v>
      </c>
      <c r="J110" s="13"/>
      <c r="K110" s="21" t="s">
        <v>995</v>
      </c>
      <c r="L110" s="21" t="s">
        <v>996</v>
      </c>
      <c r="M110" s="21" t="s">
        <v>997</v>
      </c>
      <c r="N110" s="21" t="s">
        <v>998</v>
      </c>
      <c r="O110" s="21" t="s">
        <v>999</v>
      </c>
    </row>
    <row r="111" ht="75.0" customHeight="1">
      <c r="A111" s="20" t="s">
        <v>95</v>
      </c>
      <c r="B111" s="20" t="s">
        <v>972</v>
      </c>
      <c r="C111" s="34" t="s">
        <v>1000</v>
      </c>
      <c r="D111" s="20" t="s">
        <v>1001</v>
      </c>
      <c r="E111" s="12">
        <v>4.0</v>
      </c>
      <c r="F111" s="13" t="s">
        <v>1002</v>
      </c>
      <c r="G111" s="26" t="s">
        <v>1003</v>
      </c>
      <c r="H111" s="12" t="s">
        <v>888</v>
      </c>
      <c r="I111" s="12">
        <v>2023.0</v>
      </c>
      <c r="J111" s="13"/>
      <c r="K111" s="21" t="s">
        <v>1004</v>
      </c>
      <c r="L111" s="21" t="s">
        <v>1005</v>
      </c>
      <c r="M111" s="21" t="s">
        <v>1006</v>
      </c>
      <c r="N111" s="21" t="s">
        <v>1007</v>
      </c>
      <c r="O111" s="21" t="s">
        <v>1008</v>
      </c>
    </row>
    <row r="112" ht="75.0" customHeight="1">
      <c r="A112" s="20" t="s">
        <v>95</v>
      </c>
      <c r="B112" s="20" t="s">
        <v>972</v>
      </c>
      <c r="C112" s="34" t="s">
        <v>1009</v>
      </c>
      <c r="D112" s="20" t="s">
        <v>1010</v>
      </c>
      <c r="E112" s="12">
        <v>3.0</v>
      </c>
      <c r="F112" s="13" t="s">
        <v>1011</v>
      </c>
      <c r="G112" s="18" t="s">
        <v>630</v>
      </c>
      <c r="H112" s="12" t="s">
        <v>631</v>
      </c>
      <c r="I112" s="12">
        <v>2020.0</v>
      </c>
      <c r="J112" s="13"/>
      <c r="K112" s="21" t="s">
        <v>1012</v>
      </c>
      <c r="L112" s="21" t="s">
        <v>1013</v>
      </c>
      <c r="M112" s="21" t="s">
        <v>1014</v>
      </c>
      <c r="N112" s="21" t="s">
        <v>1015</v>
      </c>
      <c r="O112" s="21" t="s">
        <v>1016</v>
      </c>
    </row>
    <row r="113" ht="75.0" customHeight="1">
      <c r="A113" s="20" t="s">
        <v>95</v>
      </c>
      <c r="B113" s="20" t="s">
        <v>972</v>
      </c>
      <c r="C113" s="34" t="s">
        <v>1017</v>
      </c>
      <c r="D113" s="20" t="s">
        <v>1018</v>
      </c>
      <c r="E113" s="12">
        <v>3.0</v>
      </c>
      <c r="F113" s="13" t="s">
        <v>1019</v>
      </c>
      <c r="G113" s="18" t="s">
        <v>932</v>
      </c>
      <c r="H113" s="12" t="s">
        <v>631</v>
      </c>
      <c r="I113" s="12">
        <v>2023.0</v>
      </c>
      <c r="J113" s="20"/>
      <c r="K113" s="21" t="s">
        <v>1020</v>
      </c>
      <c r="L113" s="21" t="s">
        <v>1021</v>
      </c>
      <c r="M113" s="21" t="s">
        <v>1022</v>
      </c>
      <c r="N113" s="21" t="s">
        <v>1023</v>
      </c>
      <c r="O113" s="21" t="s">
        <v>1024</v>
      </c>
    </row>
    <row r="114" ht="75.0" customHeight="1">
      <c r="A114" s="20" t="s">
        <v>95</v>
      </c>
      <c r="B114" s="20" t="s">
        <v>972</v>
      </c>
      <c r="C114" s="34" t="s">
        <v>1025</v>
      </c>
      <c r="D114" s="20" t="s">
        <v>1026</v>
      </c>
      <c r="E114" s="12">
        <v>3.0</v>
      </c>
      <c r="F114" s="13" t="s">
        <v>1027</v>
      </c>
      <c r="G114" s="26" t="s">
        <v>1028</v>
      </c>
      <c r="H114" s="12">
        <v>18.0</v>
      </c>
      <c r="I114" s="12">
        <v>2025.0</v>
      </c>
      <c r="J114" s="13"/>
      <c r="K114" s="21" t="s">
        <v>1029</v>
      </c>
      <c r="L114" s="21" t="s">
        <v>1030</v>
      </c>
      <c r="M114" s="21" t="s">
        <v>1031</v>
      </c>
      <c r="N114" s="21" t="s">
        <v>1032</v>
      </c>
      <c r="O114" s="21" t="s">
        <v>1033</v>
      </c>
    </row>
    <row r="115" ht="75.0" customHeight="1">
      <c r="A115" s="20" t="s">
        <v>95</v>
      </c>
      <c r="B115" s="20" t="s">
        <v>972</v>
      </c>
      <c r="C115" s="34" t="s">
        <v>1034</v>
      </c>
      <c r="D115" s="20" t="s">
        <v>1035</v>
      </c>
      <c r="E115" s="12">
        <v>4.0</v>
      </c>
      <c r="F115" s="13" t="s">
        <v>1036</v>
      </c>
      <c r="G115" s="18" t="s">
        <v>932</v>
      </c>
      <c r="H115" s="12" t="s">
        <v>631</v>
      </c>
      <c r="I115" s="12">
        <v>2023.0</v>
      </c>
      <c r="J115" s="20"/>
      <c r="K115" s="21" t="s">
        <v>1037</v>
      </c>
      <c r="L115" s="21" t="s">
        <v>1038</v>
      </c>
      <c r="M115" s="21" t="s">
        <v>1039</v>
      </c>
      <c r="N115" s="21" t="s">
        <v>1040</v>
      </c>
      <c r="O115" s="21" t="s">
        <v>1041</v>
      </c>
    </row>
    <row r="116" ht="75.0" customHeight="1">
      <c r="A116" s="20" t="s">
        <v>95</v>
      </c>
      <c r="B116" s="20" t="s">
        <v>1042</v>
      </c>
      <c r="C116" s="34" t="s">
        <v>1043</v>
      </c>
      <c r="D116" s="20" t="s">
        <v>1044</v>
      </c>
      <c r="E116" s="12">
        <v>4.0</v>
      </c>
      <c r="F116" s="13" t="s">
        <v>1045</v>
      </c>
      <c r="G116" s="26" t="s">
        <v>1046</v>
      </c>
      <c r="H116" s="12" t="s">
        <v>888</v>
      </c>
      <c r="I116" s="12">
        <v>2025.0</v>
      </c>
      <c r="J116" s="13"/>
      <c r="K116" s="21" t="s">
        <v>1047</v>
      </c>
      <c r="L116" s="21" t="s">
        <v>1048</v>
      </c>
      <c r="M116" s="21" t="s">
        <v>1049</v>
      </c>
      <c r="N116" s="21" t="s">
        <v>1050</v>
      </c>
      <c r="O116" s="21" t="s">
        <v>1051</v>
      </c>
    </row>
    <row r="117" ht="75.0" customHeight="1">
      <c r="A117" s="20" t="s">
        <v>95</v>
      </c>
      <c r="B117" s="20" t="s">
        <v>1042</v>
      </c>
      <c r="C117" s="34" t="s">
        <v>1052</v>
      </c>
      <c r="D117" s="20" t="s">
        <v>1053</v>
      </c>
      <c r="E117" s="12">
        <v>4.0</v>
      </c>
      <c r="F117" s="13" t="s">
        <v>1054</v>
      </c>
      <c r="G117" s="26" t="s">
        <v>1055</v>
      </c>
      <c r="H117" s="12" t="s">
        <v>631</v>
      </c>
      <c r="I117" s="12">
        <v>2023.0</v>
      </c>
      <c r="J117" s="20"/>
      <c r="K117" s="21" t="s">
        <v>1056</v>
      </c>
      <c r="L117" s="21" t="s">
        <v>1057</v>
      </c>
      <c r="M117" s="21" t="s">
        <v>1058</v>
      </c>
      <c r="N117" s="21" t="s">
        <v>1059</v>
      </c>
      <c r="O117" s="21" t="s">
        <v>1060</v>
      </c>
    </row>
    <row r="118" ht="75.0" customHeight="1">
      <c r="A118" s="20" t="s">
        <v>95</v>
      </c>
      <c r="B118" s="20" t="s">
        <v>1042</v>
      </c>
      <c r="C118" s="34" t="s">
        <v>1061</v>
      </c>
      <c r="D118" s="20" t="s">
        <v>1062</v>
      </c>
      <c r="E118" s="12">
        <v>4.0</v>
      </c>
      <c r="F118" s="13" t="s">
        <v>1063</v>
      </c>
      <c r="G118" s="26" t="s">
        <v>1064</v>
      </c>
      <c r="H118" s="12" t="s">
        <v>631</v>
      </c>
      <c r="I118" s="12">
        <v>2025.0</v>
      </c>
      <c r="J118" s="13"/>
      <c r="K118" s="21" t="s">
        <v>1065</v>
      </c>
      <c r="L118" s="21" t="s">
        <v>1066</v>
      </c>
      <c r="M118" s="21" t="s">
        <v>1067</v>
      </c>
      <c r="N118" s="21" t="s">
        <v>1068</v>
      </c>
      <c r="O118" s="21" t="s">
        <v>1069</v>
      </c>
    </row>
    <row r="119" ht="75.0" customHeight="1">
      <c r="A119" s="20" t="s">
        <v>95</v>
      </c>
      <c r="B119" s="20" t="s">
        <v>1042</v>
      </c>
      <c r="C119" s="34" t="s">
        <v>1070</v>
      </c>
      <c r="D119" s="20" t="s">
        <v>1071</v>
      </c>
      <c r="E119" s="12" t="s">
        <v>44</v>
      </c>
      <c r="F119" s="13" t="s">
        <v>45</v>
      </c>
      <c r="G119" s="20"/>
      <c r="H119" s="19"/>
      <c r="I119" s="19"/>
      <c r="J119" s="20"/>
      <c r="K119" s="21" t="s">
        <v>1072</v>
      </c>
      <c r="L119" s="21" t="s">
        <v>1073</v>
      </c>
      <c r="M119" s="21" t="s">
        <v>1074</v>
      </c>
      <c r="N119" s="21" t="s">
        <v>1075</v>
      </c>
      <c r="O119" s="21" t="s">
        <v>1076</v>
      </c>
    </row>
    <row r="120" ht="75.0" customHeight="1">
      <c r="A120" s="20" t="s">
        <v>95</v>
      </c>
      <c r="B120" s="20" t="s">
        <v>1042</v>
      </c>
      <c r="C120" s="34" t="s">
        <v>1077</v>
      </c>
      <c r="D120" s="20" t="s">
        <v>1078</v>
      </c>
      <c r="E120" s="12">
        <v>3.0</v>
      </c>
      <c r="F120" s="13" t="s">
        <v>1079</v>
      </c>
      <c r="G120" s="26" t="s">
        <v>1080</v>
      </c>
      <c r="H120" s="12">
        <v>72.0</v>
      </c>
      <c r="I120" s="12">
        <v>2025.0</v>
      </c>
      <c r="J120" s="13"/>
      <c r="K120" s="21" t="s">
        <v>1081</v>
      </c>
      <c r="L120" s="21" t="s">
        <v>1082</v>
      </c>
      <c r="M120" s="21" t="s">
        <v>1083</v>
      </c>
      <c r="N120" s="21" t="s">
        <v>1084</v>
      </c>
      <c r="O120" s="21" t="s">
        <v>1085</v>
      </c>
    </row>
    <row r="121" ht="75.0" customHeight="1">
      <c r="A121" s="20" t="s">
        <v>95</v>
      </c>
      <c r="B121" s="20" t="s">
        <v>1042</v>
      </c>
      <c r="C121" s="34" t="s">
        <v>1086</v>
      </c>
      <c r="D121" s="20" t="s">
        <v>1087</v>
      </c>
      <c r="E121" s="12" t="s">
        <v>44</v>
      </c>
      <c r="F121" s="13" t="s">
        <v>45</v>
      </c>
      <c r="G121" s="20"/>
      <c r="H121" s="19"/>
      <c r="I121" s="19"/>
      <c r="J121" s="20"/>
      <c r="K121" s="21" t="s">
        <v>1088</v>
      </c>
      <c r="L121" s="21" t="s">
        <v>1089</v>
      </c>
      <c r="M121" s="21" t="s">
        <v>1090</v>
      </c>
      <c r="N121" s="21" t="s">
        <v>1091</v>
      </c>
      <c r="O121" s="21" t="s">
        <v>1092</v>
      </c>
    </row>
    <row r="122" ht="75.0" customHeight="1">
      <c r="A122" s="20" t="s">
        <v>95</v>
      </c>
      <c r="B122" s="20" t="s">
        <v>1042</v>
      </c>
      <c r="C122" s="34" t="s">
        <v>1093</v>
      </c>
      <c r="D122" s="20" t="s">
        <v>1094</v>
      </c>
      <c r="E122" s="12" t="s">
        <v>44</v>
      </c>
      <c r="F122" s="13" t="s">
        <v>45</v>
      </c>
      <c r="G122" s="20"/>
      <c r="H122" s="19"/>
      <c r="I122" s="19"/>
      <c r="J122" s="20"/>
      <c r="K122" s="21" t="s">
        <v>1095</v>
      </c>
      <c r="L122" s="21" t="s">
        <v>1096</v>
      </c>
      <c r="M122" s="21" t="s">
        <v>1097</v>
      </c>
      <c r="N122" s="21" t="s">
        <v>1098</v>
      </c>
      <c r="O122" s="21" t="s">
        <v>1099</v>
      </c>
    </row>
    <row r="123" ht="75.0" customHeight="1">
      <c r="A123" s="20" t="s">
        <v>95</v>
      </c>
      <c r="B123" s="20" t="s">
        <v>1042</v>
      </c>
      <c r="C123" s="34" t="s">
        <v>1100</v>
      </c>
      <c r="D123" s="20" t="s">
        <v>1101</v>
      </c>
      <c r="E123" s="12" t="s">
        <v>44</v>
      </c>
      <c r="F123" s="13" t="s">
        <v>45</v>
      </c>
      <c r="G123" s="20"/>
      <c r="H123" s="19"/>
      <c r="I123" s="19"/>
      <c r="J123" s="20"/>
      <c r="K123" s="21" t="s">
        <v>1102</v>
      </c>
      <c r="L123" s="21" t="s">
        <v>1103</v>
      </c>
      <c r="M123" s="21" t="s">
        <v>1104</v>
      </c>
      <c r="N123" s="21" t="s">
        <v>1105</v>
      </c>
      <c r="O123" s="21" t="s">
        <v>1106</v>
      </c>
    </row>
    <row r="124" ht="75.0" customHeight="1">
      <c r="A124" s="35" t="s">
        <v>112</v>
      </c>
      <c r="B124" s="35" t="s">
        <v>1107</v>
      </c>
      <c r="C124" s="36" t="s">
        <v>1108</v>
      </c>
      <c r="D124" s="35" t="s">
        <v>1109</v>
      </c>
      <c r="E124" s="12" t="s">
        <v>44</v>
      </c>
      <c r="F124" s="13" t="s">
        <v>45</v>
      </c>
      <c r="G124" s="20"/>
      <c r="H124" s="19"/>
      <c r="I124" s="19"/>
      <c r="J124" s="20"/>
      <c r="K124" s="21" t="s">
        <v>1110</v>
      </c>
      <c r="L124" s="21" t="s">
        <v>1111</v>
      </c>
      <c r="M124" s="21" t="s">
        <v>1112</v>
      </c>
      <c r="N124" s="21" t="s">
        <v>1113</v>
      </c>
      <c r="O124" s="21" t="s">
        <v>1114</v>
      </c>
    </row>
    <row r="125" ht="75.0" customHeight="1">
      <c r="A125" s="35" t="s">
        <v>112</v>
      </c>
      <c r="B125" s="35" t="s">
        <v>1107</v>
      </c>
      <c r="C125" s="36" t="s">
        <v>1115</v>
      </c>
      <c r="D125" s="35" t="s">
        <v>1116</v>
      </c>
      <c r="E125" s="12">
        <v>3.0</v>
      </c>
      <c r="F125" s="13" t="s">
        <v>1117</v>
      </c>
      <c r="G125" s="18" t="s">
        <v>1118</v>
      </c>
      <c r="H125" s="12" t="s">
        <v>631</v>
      </c>
      <c r="I125" s="12">
        <v>2025.0</v>
      </c>
      <c r="J125" s="20"/>
      <c r="K125" s="21" t="s">
        <v>1119</v>
      </c>
      <c r="L125" s="21" t="s">
        <v>1120</v>
      </c>
      <c r="M125" s="21" t="s">
        <v>1121</v>
      </c>
      <c r="N125" s="21" t="s">
        <v>1122</v>
      </c>
      <c r="O125" s="21" t="s">
        <v>1123</v>
      </c>
    </row>
    <row r="126" ht="75.0" customHeight="1">
      <c r="A126" s="35" t="s">
        <v>112</v>
      </c>
      <c r="B126" s="35" t="s">
        <v>1107</v>
      </c>
      <c r="C126" s="36" t="s">
        <v>1124</v>
      </c>
      <c r="D126" s="35" t="s">
        <v>1125</v>
      </c>
      <c r="E126" s="12">
        <v>3.0</v>
      </c>
      <c r="F126" s="13" t="s">
        <v>1126</v>
      </c>
      <c r="G126" s="18" t="s">
        <v>1127</v>
      </c>
      <c r="H126" s="12" t="s">
        <v>631</v>
      </c>
      <c r="I126" s="12">
        <v>2025.0</v>
      </c>
      <c r="J126" s="13"/>
      <c r="K126" s="21" t="s">
        <v>1128</v>
      </c>
      <c r="L126" s="21" t="s">
        <v>1129</v>
      </c>
      <c r="M126" s="21" t="s">
        <v>1130</v>
      </c>
      <c r="N126" s="21" t="s">
        <v>1131</v>
      </c>
      <c r="O126" s="21" t="s">
        <v>1132</v>
      </c>
    </row>
    <row r="127" ht="75.0" customHeight="1">
      <c r="A127" s="35" t="s">
        <v>112</v>
      </c>
      <c r="B127" s="35" t="s">
        <v>1107</v>
      </c>
      <c r="C127" s="36" t="s">
        <v>1133</v>
      </c>
      <c r="D127" s="35" t="s">
        <v>1134</v>
      </c>
      <c r="E127" s="12">
        <v>4.0</v>
      </c>
      <c r="F127" s="13" t="s">
        <v>1135</v>
      </c>
      <c r="G127" s="26" t="s">
        <v>1136</v>
      </c>
      <c r="H127" s="12" t="s">
        <v>631</v>
      </c>
      <c r="I127" s="12">
        <v>2025.0</v>
      </c>
      <c r="J127" s="20"/>
      <c r="K127" s="21" t="s">
        <v>1137</v>
      </c>
      <c r="L127" s="21" t="s">
        <v>1138</v>
      </c>
      <c r="M127" s="21" t="s">
        <v>1139</v>
      </c>
      <c r="N127" s="21" t="s">
        <v>1140</v>
      </c>
      <c r="O127" s="21" t="s">
        <v>1141</v>
      </c>
    </row>
    <row r="128" ht="75.0" customHeight="1">
      <c r="A128" s="35" t="s">
        <v>112</v>
      </c>
      <c r="B128" s="35" t="s">
        <v>1107</v>
      </c>
      <c r="C128" s="36" t="s">
        <v>1142</v>
      </c>
      <c r="D128" s="35" t="s">
        <v>1143</v>
      </c>
      <c r="E128" s="12">
        <v>3.0</v>
      </c>
      <c r="F128" s="13" t="s">
        <v>1144</v>
      </c>
      <c r="G128" s="26" t="s">
        <v>1145</v>
      </c>
      <c r="H128" s="12" t="s">
        <v>631</v>
      </c>
      <c r="I128" s="12">
        <v>2025.0</v>
      </c>
      <c r="J128" s="20"/>
      <c r="K128" s="21" t="s">
        <v>1146</v>
      </c>
      <c r="L128" s="21" t="s">
        <v>1147</v>
      </c>
      <c r="M128" s="21" t="s">
        <v>1148</v>
      </c>
      <c r="N128" s="21" t="s">
        <v>1149</v>
      </c>
      <c r="O128" s="21" t="s">
        <v>1150</v>
      </c>
    </row>
    <row r="129" ht="75.0" customHeight="1">
      <c r="A129" s="35" t="s">
        <v>112</v>
      </c>
      <c r="B129" s="35" t="s">
        <v>1107</v>
      </c>
      <c r="C129" s="36" t="s">
        <v>1151</v>
      </c>
      <c r="D129" s="35" t="s">
        <v>1152</v>
      </c>
      <c r="E129" s="12">
        <v>4.0</v>
      </c>
      <c r="F129" s="13" t="s">
        <v>1153</v>
      </c>
      <c r="G129" s="26" t="s">
        <v>1154</v>
      </c>
      <c r="H129" s="12" t="s">
        <v>1155</v>
      </c>
      <c r="I129" s="12">
        <v>2026.0</v>
      </c>
      <c r="J129" s="13" t="s">
        <v>1156</v>
      </c>
      <c r="K129" s="21" t="s">
        <v>1157</v>
      </c>
      <c r="L129" s="21" t="s">
        <v>1158</v>
      </c>
      <c r="M129" s="21" t="s">
        <v>1159</v>
      </c>
      <c r="N129" s="21" t="s">
        <v>1160</v>
      </c>
      <c r="O129" s="21" t="s">
        <v>1161</v>
      </c>
    </row>
    <row r="130" ht="75.0" customHeight="1">
      <c r="A130" s="35" t="s">
        <v>112</v>
      </c>
      <c r="B130" s="35" t="s">
        <v>1107</v>
      </c>
      <c r="C130" s="36" t="s">
        <v>1162</v>
      </c>
      <c r="D130" s="35" t="s">
        <v>1163</v>
      </c>
      <c r="E130" s="12">
        <v>3.0</v>
      </c>
      <c r="F130" s="13" t="s">
        <v>1164</v>
      </c>
      <c r="G130" s="18" t="s">
        <v>1118</v>
      </c>
      <c r="H130" s="12" t="s">
        <v>631</v>
      </c>
      <c r="I130" s="12">
        <v>2025.0</v>
      </c>
      <c r="J130" s="13" t="s">
        <v>1165</v>
      </c>
      <c r="K130" s="21" t="s">
        <v>1166</v>
      </c>
      <c r="L130" s="21" t="s">
        <v>1167</v>
      </c>
      <c r="M130" s="21" t="s">
        <v>1168</v>
      </c>
      <c r="N130" s="21" t="s">
        <v>1169</v>
      </c>
      <c r="O130" s="21" t="s">
        <v>1170</v>
      </c>
    </row>
    <row r="131" ht="75.0" customHeight="1">
      <c r="A131" s="35" t="s">
        <v>112</v>
      </c>
      <c r="B131" s="35" t="s">
        <v>1107</v>
      </c>
      <c r="C131" s="36" t="s">
        <v>1171</v>
      </c>
      <c r="D131" s="35" t="s">
        <v>1172</v>
      </c>
      <c r="E131" s="12">
        <v>3.0</v>
      </c>
      <c r="F131" s="13" t="s">
        <v>1173</v>
      </c>
      <c r="G131" s="26" t="s">
        <v>1174</v>
      </c>
      <c r="H131" s="12" t="s">
        <v>631</v>
      </c>
      <c r="I131" s="12">
        <v>2025.0</v>
      </c>
      <c r="J131" s="20"/>
      <c r="K131" s="21" t="s">
        <v>1175</v>
      </c>
      <c r="L131" s="21" t="s">
        <v>1176</v>
      </c>
      <c r="M131" s="21" t="s">
        <v>1177</v>
      </c>
      <c r="N131" s="21" t="s">
        <v>1178</v>
      </c>
      <c r="O131" s="21" t="s">
        <v>1179</v>
      </c>
    </row>
    <row r="132" ht="75.0" customHeight="1">
      <c r="A132" s="35" t="s">
        <v>112</v>
      </c>
      <c r="B132" s="35" t="s">
        <v>1180</v>
      </c>
      <c r="C132" s="36" t="s">
        <v>1181</v>
      </c>
      <c r="D132" s="35" t="s">
        <v>1182</v>
      </c>
      <c r="E132" s="12" t="s">
        <v>44</v>
      </c>
      <c r="F132" s="13" t="s">
        <v>45</v>
      </c>
      <c r="G132" s="20"/>
      <c r="H132" s="19"/>
      <c r="I132" s="19"/>
      <c r="J132" s="20"/>
      <c r="K132" s="21" t="s">
        <v>1183</v>
      </c>
      <c r="L132" s="21" t="s">
        <v>1184</v>
      </c>
      <c r="M132" s="21" t="s">
        <v>1185</v>
      </c>
      <c r="N132" s="21" t="s">
        <v>1186</v>
      </c>
      <c r="O132" s="21" t="s">
        <v>1187</v>
      </c>
    </row>
    <row r="133" ht="75.0" customHeight="1">
      <c r="A133" s="35" t="s">
        <v>112</v>
      </c>
      <c r="B133" s="35" t="s">
        <v>1180</v>
      </c>
      <c r="C133" s="36" t="s">
        <v>1188</v>
      </c>
      <c r="D133" s="35" t="s">
        <v>1189</v>
      </c>
      <c r="E133" s="12">
        <v>4.0</v>
      </c>
      <c r="F133" s="13" t="s">
        <v>1190</v>
      </c>
      <c r="G133" s="26" t="s">
        <v>1191</v>
      </c>
      <c r="H133" s="12" t="s">
        <v>631</v>
      </c>
      <c r="I133" s="12">
        <v>2025.0</v>
      </c>
      <c r="J133" s="20"/>
      <c r="K133" s="21" t="s">
        <v>1192</v>
      </c>
      <c r="L133" s="21" t="s">
        <v>1193</v>
      </c>
      <c r="M133" s="21" t="s">
        <v>1194</v>
      </c>
      <c r="N133" s="21" t="s">
        <v>1195</v>
      </c>
      <c r="O133" s="21" t="s">
        <v>1196</v>
      </c>
    </row>
    <row r="134" ht="75.0" customHeight="1">
      <c r="A134" s="35" t="s">
        <v>112</v>
      </c>
      <c r="B134" s="35" t="s">
        <v>1180</v>
      </c>
      <c r="C134" s="36" t="s">
        <v>1197</v>
      </c>
      <c r="D134" s="35" t="s">
        <v>1198</v>
      </c>
      <c r="E134" s="12">
        <v>3.0</v>
      </c>
      <c r="F134" s="13" t="s">
        <v>1199</v>
      </c>
      <c r="G134" s="26" t="s">
        <v>1200</v>
      </c>
      <c r="H134" s="12" t="s">
        <v>631</v>
      </c>
      <c r="I134" s="12">
        <v>2025.0</v>
      </c>
      <c r="J134" s="20"/>
      <c r="K134" s="21" t="s">
        <v>1201</v>
      </c>
      <c r="L134" s="21" t="s">
        <v>1202</v>
      </c>
      <c r="M134" s="21" t="s">
        <v>1203</v>
      </c>
      <c r="N134" s="21" t="s">
        <v>1204</v>
      </c>
      <c r="O134" s="21" t="s">
        <v>1205</v>
      </c>
    </row>
    <row r="135" ht="75.0" customHeight="1">
      <c r="A135" s="35" t="s">
        <v>112</v>
      </c>
      <c r="B135" s="35" t="s">
        <v>1180</v>
      </c>
      <c r="C135" s="36" t="s">
        <v>1206</v>
      </c>
      <c r="D135" s="35" t="s">
        <v>1207</v>
      </c>
      <c r="E135" s="12" t="s">
        <v>44</v>
      </c>
      <c r="F135" s="13" t="s">
        <v>45</v>
      </c>
      <c r="G135" s="20"/>
      <c r="H135" s="19"/>
      <c r="I135" s="19"/>
      <c r="J135" s="20"/>
      <c r="K135" s="21" t="s">
        <v>1208</v>
      </c>
      <c r="L135" s="21" t="s">
        <v>1209</v>
      </c>
      <c r="M135" s="21" t="s">
        <v>1210</v>
      </c>
      <c r="N135" s="21" t="s">
        <v>1211</v>
      </c>
      <c r="O135" s="21" t="s">
        <v>1212</v>
      </c>
    </row>
    <row r="136" ht="75.0" customHeight="1">
      <c r="A136" s="35" t="s">
        <v>112</v>
      </c>
      <c r="B136" s="35" t="s">
        <v>1180</v>
      </c>
      <c r="C136" s="36" t="s">
        <v>1213</v>
      </c>
      <c r="D136" s="35" t="s">
        <v>1214</v>
      </c>
      <c r="E136" s="12">
        <v>4.0</v>
      </c>
      <c r="F136" s="13" t="s">
        <v>1215</v>
      </c>
      <c r="G136" s="26" t="s">
        <v>1216</v>
      </c>
      <c r="H136" s="12" t="s">
        <v>631</v>
      </c>
      <c r="I136" s="12">
        <v>2025.0</v>
      </c>
      <c r="J136" s="20"/>
      <c r="K136" s="21" t="s">
        <v>1217</v>
      </c>
      <c r="L136" s="21" t="s">
        <v>1218</v>
      </c>
      <c r="M136" s="21" t="s">
        <v>1219</v>
      </c>
      <c r="N136" s="21" t="s">
        <v>1220</v>
      </c>
      <c r="O136" s="21" t="s">
        <v>1221</v>
      </c>
    </row>
    <row r="137" ht="75.0" customHeight="1">
      <c r="A137" s="35" t="s">
        <v>112</v>
      </c>
      <c r="B137" s="35" t="s">
        <v>1180</v>
      </c>
      <c r="C137" s="36" t="s">
        <v>1222</v>
      </c>
      <c r="D137" s="35" t="s">
        <v>1223</v>
      </c>
      <c r="E137" s="12">
        <v>3.0</v>
      </c>
      <c r="F137" s="13" t="s">
        <v>1224</v>
      </c>
      <c r="G137" s="26" t="s">
        <v>1225</v>
      </c>
      <c r="H137" s="12" t="s">
        <v>1155</v>
      </c>
      <c r="I137" s="12">
        <v>2025.0</v>
      </c>
      <c r="J137" s="13" t="s">
        <v>1156</v>
      </c>
      <c r="K137" s="21" t="s">
        <v>1226</v>
      </c>
      <c r="L137" s="21" t="s">
        <v>1227</v>
      </c>
      <c r="M137" s="21" t="s">
        <v>1228</v>
      </c>
      <c r="N137" s="21" t="s">
        <v>1229</v>
      </c>
      <c r="O137" s="21" t="s">
        <v>1230</v>
      </c>
    </row>
    <row r="138" ht="75.0" customHeight="1">
      <c r="A138" s="35" t="s">
        <v>112</v>
      </c>
      <c r="B138" s="35" t="s">
        <v>1180</v>
      </c>
      <c r="C138" s="36" t="s">
        <v>1231</v>
      </c>
      <c r="D138" s="35" t="s">
        <v>1232</v>
      </c>
      <c r="E138" s="12" t="s">
        <v>44</v>
      </c>
      <c r="F138" s="13" t="s">
        <v>45</v>
      </c>
      <c r="G138" s="20"/>
      <c r="H138" s="19"/>
      <c r="I138" s="19"/>
      <c r="J138" s="20"/>
      <c r="K138" s="21" t="s">
        <v>1233</v>
      </c>
      <c r="L138" s="21" t="s">
        <v>1234</v>
      </c>
      <c r="M138" s="21" t="s">
        <v>1235</v>
      </c>
      <c r="N138" s="21" t="s">
        <v>1236</v>
      </c>
      <c r="O138" s="21" t="s">
        <v>1237</v>
      </c>
    </row>
    <row r="139" ht="75.0" customHeight="1">
      <c r="A139" s="35" t="s">
        <v>112</v>
      </c>
      <c r="B139" s="35" t="s">
        <v>1238</v>
      </c>
      <c r="C139" s="36" t="s">
        <v>1239</v>
      </c>
      <c r="D139" s="35" t="s">
        <v>1240</v>
      </c>
      <c r="E139" s="12">
        <v>4.0</v>
      </c>
      <c r="F139" s="13" t="s">
        <v>1241</v>
      </c>
      <c r="G139" s="18" t="s">
        <v>1242</v>
      </c>
      <c r="H139" s="12" t="s">
        <v>631</v>
      </c>
      <c r="I139" s="12">
        <v>2026.0</v>
      </c>
      <c r="J139" s="20"/>
      <c r="K139" s="21" t="s">
        <v>1243</v>
      </c>
      <c r="L139" s="21" t="s">
        <v>1244</v>
      </c>
      <c r="M139" s="21" t="s">
        <v>1245</v>
      </c>
      <c r="N139" s="21" t="s">
        <v>1246</v>
      </c>
      <c r="O139" s="21" t="s">
        <v>1247</v>
      </c>
    </row>
    <row r="140" ht="75.0" customHeight="1">
      <c r="A140" s="35" t="s">
        <v>112</v>
      </c>
      <c r="B140" s="35" t="s">
        <v>1238</v>
      </c>
      <c r="C140" s="36" t="s">
        <v>1248</v>
      </c>
      <c r="D140" s="35" t="s">
        <v>1249</v>
      </c>
      <c r="E140" s="12">
        <v>4.0</v>
      </c>
      <c r="F140" s="13" t="s">
        <v>1250</v>
      </c>
      <c r="G140" s="26" t="s">
        <v>1251</v>
      </c>
      <c r="H140" s="12" t="s">
        <v>631</v>
      </c>
      <c r="I140" s="12">
        <v>2026.0</v>
      </c>
      <c r="J140" s="20"/>
      <c r="K140" s="21" t="s">
        <v>1252</v>
      </c>
      <c r="L140" s="21" t="s">
        <v>1253</v>
      </c>
      <c r="M140" s="21" t="s">
        <v>1254</v>
      </c>
      <c r="N140" s="21" t="s">
        <v>1255</v>
      </c>
      <c r="O140" s="21" t="s">
        <v>1256</v>
      </c>
    </row>
    <row r="141" ht="75.0" customHeight="1">
      <c r="A141" s="35" t="s">
        <v>112</v>
      </c>
      <c r="B141" s="35" t="s">
        <v>1238</v>
      </c>
      <c r="C141" s="36" t="s">
        <v>1257</v>
      </c>
      <c r="D141" s="35" t="s">
        <v>1258</v>
      </c>
      <c r="E141" s="12">
        <v>4.0</v>
      </c>
      <c r="F141" s="13" t="s">
        <v>1259</v>
      </c>
      <c r="G141" s="26" t="s">
        <v>1260</v>
      </c>
      <c r="H141" s="12" t="s">
        <v>631</v>
      </c>
      <c r="I141" s="12">
        <v>2026.0</v>
      </c>
      <c r="J141" s="20"/>
      <c r="K141" s="21" t="s">
        <v>1261</v>
      </c>
      <c r="L141" s="21" t="s">
        <v>1262</v>
      </c>
      <c r="M141" s="21" t="s">
        <v>1263</v>
      </c>
      <c r="N141" s="21" t="s">
        <v>1264</v>
      </c>
      <c r="O141" s="21" t="s">
        <v>1265</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41"/>
  <conditionalFormatting sqref="E2:E141">
    <cfRule type="expression" dxfId="0" priority="1">
      <formula>AND($E2&lt;&gt;"",$E2&lt;&gt;"N/A",$F2="")</formula>
    </cfRule>
  </conditionalFormatting>
  <conditionalFormatting sqref="E2:E141">
    <cfRule type="cellIs" dxfId="1" priority="2" operator="equal">
      <formula>"N/A"</formula>
    </cfRule>
  </conditionalFormatting>
  <dataValidations>
    <dataValidation type="list" allowBlank="1" showInputMessage="1" showErrorMessage="1" prompt="Level - 1–5 theo mô tả DBI; N/A nếu không có minh chứng công khai" sqref="E2:E141">
      <formula1>"1,2,3,4,5,N/A"</formula1>
    </dataValidation>
    <dataValidation type="decimal" allowBlank="1" showInputMessage="1" showErrorMessage="1" prompt="Năm - Nhập năm dạng số, ví dụ 2025." sqref="I2:I141">
      <formula1>2015.0</formula1>
      <formula2>2030.0</formula2>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9"/>
    <hyperlink r:id="rId18" ref="G20"/>
    <hyperlink r:id="rId19" ref="G21"/>
    <hyperlink r:id="rId20" ref="G22"/>
    <hyperlink r:id="rId21" ref="G24"/>
    <hyperlink r:id="rId22" ref="G25"/>
    <hyperlink r:id="rId23" ref="G26"/>
    <hyperlink r:id="rId24" ref="G28"/>
    <hyperlink r:id="rId25" ref="G29"/>
    <hyperlink r:id="rId26" ref="G30"/>
    <hyperlink r:id="rId27" ref="G31"/>
    <hyperlink r:id="rId28" ref="G32"/>
    <hyperlink r:id="rId29" ref="G33"/>
    <hyperlink r:id="rId30" ref="G34"/>
    <hyperlink r:id="rId31" ref="G35"/>
    <hyperlink r:id="rId32" ref="G36"/>
    <hyperlink r:id="rId33" ref="G38"/>
    <hyperlink r:id="rId34" ref="G40"/>
    <hyperlink r:id="rId35" ref="G41"/>
    <hyperlink r:id="rId36" ref="G42"/>
    <hyperlink r:id="rId37" ref="G43"/>
    <hyperlink r:id="rId38" ref="G44"/>
    <hyperlink r:id="rId39" ref="G45"/>
    <hyperlink r:id="rId40" ref="G46"/>
    <hyperlink r:id="rId41" ref="G47"/>
    <hyperlink r:id="rId42" ref="G48"/>
    <hyperlink r:id="rId43" ref="G49"/>
    <hyperlink r:id="rId44" ref="G50"/>
    <hyperlink r:id="rId45" ref="G52"/>
    <hyperlink r:id="rId46" ref="G55"/>
    <hyperlink r:id="rId47" ref="G56"/>
    <hyperlink r:id="rId48" ref="G57"/>
    <hyperlink r:id="rId49" ref="G59"/>
    <hyperlink r:id="rId50" ref="G60"/>
    <hyperlink r:id="rId51" ref="G61"/>
    <hyperlink r:id="rId52" ref="G62"/>
    <hyperlink r:id="rId53" ref="G63"/>
    <hyperlink r:id="rId54" ref="G64"/>
    <hyperlink r:id="rId55" ref="G65"/>
    <hyperlink r:id="rId56" ref="G66"/>
    <hyperlink r:id="rId57" ref="G67"/>
    <hyperlink r:id="rId58" ref="G68"/>
    <hyperlink r:id="rId59" ref="G69"/>
    <hyperlink r:id="rId60" ref="G70"/>
    <hyperlink r:id="rId61" ref="G71"/>
    <hyperlink r:id="rId62" ref="G74"/>
    <hyperlink r:id="rId63" ref="G75"/>
    <hyperlink r:id="rId64" ref="G77"/>
    <hyperlink r:id="rId65" ref="G79"/>
    <hyperlink r:id="rId66" ref="G80"/>
    <hyperlink r:id="rId67" ref="G81"/>
    <hyperlink r:id="rId68" ref="G82"/>
    <hyperlink r:id="rId69" ref="G83"/>
    <hyperlink r:id="rId70" ref="G84"/>
    <hyperlink r:id="rId71" ref="G85"/>
    <hyperlink r:id="rId72" ref="G86"/>
    <hyperlink r:id="rId73" ref="G87"/>
    <hyperlink r:id="rId74" ref="G88"/>
    <hyperlink r:id="rId75" ref="G89"/>
    <hyperlink r:id="rId76" ref="G90"/>
    <hyperlink r:id="rId77" ref="G91"/>
    <hyperlink r:id="rId78" ref="G93"/>
    <hyperlink r:id="rId79" ref="G94"/>
    <hyperlink r:id="rId80" ref="G97"/>
    <hyperlink r:id="rId81" ref="G98"/>
    <hyperlink r:id="rId82" ref="G100"/>
    <hyperlink r:id="rId83" ref="G101"/>
    <hyperlink r:id="rId84" ref="G102"/>
    <hyperlink r:id="rId85" ref="G103"/>
    <hyperlink r:id="rId86" ref="G104"/>
    <hyperlink r:id="rId87" ref="G106"/>
    <hyperlink r:id="rId88" ref="G108"/>
    <hyperlink r:id="rId89" ref="G109"/>
    <hyperlink r:id="rId90" ref="G110"/>
    <hyperlink r:id="rId91" ref="G111"/>
    <hyperlink r:id="rId92" ref="G112"/>
    <hyperlink r:id="rId93" ref="G113"/>
    <hyperlink r:id="rId94" ref="G114"/>
    <hyperlink r:id="rId95" ref="G115"/>
    <hyperlink r:id="rId96" ref="G116"/>
    <hyperlink r:id="rId97" ref="G117"/>
    <hyperlink r:id="rId98" ref="G118"/>
    <hyperlink r:id="rId99" ref="G120"/>
    <hyperlink r:id="rId100" ref="G125"/>
    <hyperlink r:id="rId101" ref="G126"/>
    <hyperlink r:id="rId102" ref="G127"/>
    <hyperlink r:id="rId103" ref="G128"/>
    <hyperlink r:id="rId104" ref="G129"/>
    <hyperlink r:id="rId105" ref="G130"/>
    <hyperlink r:id="rId106" ref="G131"/>
    <hyperlink r:id="rId107" ref="G133"/>
    <hyperlink r:id="rId108" ref="G134"/>
    <hyperlink r:id="rId109" ref="G136"/>
    <hyperlink r:id="rId110" ref="G137"/>
    <hyperlink r:id="rId111" ref="G139"/>
    <hyperlink r:id="rId112" ref="G140"/>
    <hyperlink r:id="rId113" ref="G141"/>
  </hyperlinks>
  <printOptions/>
  <pageMargins bottom="1.0" footer="0.0" header="0.0" left="0.75" right="0.75" top="1.0"/>
  <pageSetup paperSize="9" orientation="portrait"/>
  <drawing r:id="rId1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2026-10-07T05:58:21Z</dcterms:created>
  <dc:creator>openpyxl</dc:creator>
</cp:coreProperties>
</file>

<file path=docProps/custom.xml><?xml version="1.0" encoding="utf-8"?>
<Properties xmlns="http://schemas.openxmlformats.org/officeDocument/2006/custom-properties" xmlns:vt="http://schemas.openxmlformats.org/officeDocument/2006/docPropsVTypes"/>
</file>