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FFEEA260-CFA5-4F29-83B3-BB083D7C35A4}" xr6:coauthVersionLast="47" xr6:coauthVersionMax="47" xr10:uidLastSave="{00000000-0000-0000-0000-000000000000}"/>
  <bookViews>
    <workbookView xWindow="-108" yWindow="-108" windowWidth="23256" windowHeight="12456" tabRatio="500" xr2:uid="{00000000-000D-0000-FFFF-FFFF00000000}"/>
  </bookViews>
  <sheets>
    <sheet name="Hướng dẫn" sheetId="1" r:id="rId1"/>
    <sheet name="Chấm điểm" sheetId="2" r:id="rId2"/>
  </sheets>
  <definedNames>
    <definedName name="_xlnm._FilterDatabase" localSheetId="1" hidden="1">'Chấm điểm'!$A$1:$O$141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37" i="1" l="1"/>
  <c r="D36" i="1"/>
  <c r="D35" i="1"/>
  <c r="D32" i="1"/>
  <c r="C32" i="1"/>
  <c r="B32" i="1"/>
  <c r="D31" i="1"/>
  <c r="C31" i="1"/>
  <c r="B31" i="1"/>
  <c r="D30" i="1"/>
  <c r="C30" i="1"/>
  <c r="B30" i="1"/>
  <c r="D29" i="1"/>
  <c r="C29" i="1"/>
  <c r="B29" i="1"/>
  <c r="D28" i="1"/>
  <c r="C28" i="1"/>
  <c r="B28" i="1"/>
  <c r="D27" i="1"/>
  <c r="C27" i="1"/>
  <c r="B27" i="1"/>
  <c r="E31" i="1" l="1"/>
  <c r="E28" i="1"/>
  <c r="E32" i="1"/>
  <c r="E27" i="1"/>
  <c r="D33" i="1"/>
  <c r="E29" i="1"/>
  <c r="C33" i="1"/>
  <c r="E30" i="1"/>
  <c r="B33" i="1"/>
  <c r="E33" i="1" l="1"/>
</calcChain>
</file>

<file path=xl/sharedStrings.xml><?xml version="1.0" encoding="utf-8"?>
<sst xmlns="http://schemas.openxmlformats.org/spreadsheetml/2006/main" count="1805" uniqueCount="1292">
  <si>
    <t>PHIẾU THU THẬP MINH CHỨNG &amp; CHẤM ĐIỂM CĐS (DBI)</t>
  </si>
  <si>
    <t>Ngân hàng</t>
  </si>
  <si>
    <t>BIDV</t>
  </si>
  <si>
    <t>← Tên ngân hàng: KHÔNG sửa (code đọc ô B3 để nhận diện)</t>
  </si>
  <si>
    <t>Người phụ trách</t>
  </si>
  <si>
    <t>VLy</t>
  </si>
  <si>
    <t>Năm dữ liệu (FY)</t>
  </si>
  <si>
    <t>Deadline nộp</t>
  </si>
  <si>
    <t>09/10</t>
  </si>
  <si>
    <t>CÁCH ĐIỀN (sheet "Chấm điểm")</t>
  </si>
  <si>
    <t>1. Chỉ điền vào các cột nền VÀNG (Level, Minh chứng, Nguồn, Trang, Năm, Ghi chú). Cột xám là cố định, không sửa.</t>
  </si>
  <si>
    <t>2. Đọc mô tả Mức 1–5 ở các cột bên phải của từng tiêu chí, rồi đọc minh chứng đã ghi để chọn Level.</t>
  </si>
  <si>
    <t>3. Level: chọn từ danh sách 1, 2, 3, 4, 5 hoặc N/A (không có minh chứng công khai). Không để trống.</t>
  </si>
  <si>
    <t>4. Trả lời 3 câu hỏi: (a) có tồn tại không; (b) phạm vi: một phần / một cụm / toàn ngân hàng / cùng đối tác; (c) có số liệu hoặc cam kết đo lường không.</t>
  </si>
  <si>
    <t>5. Minh chứng: ghi ngắn gọn điều ngân hàng đã làm, ưu tiên có số liệu. Không chép nguyên đoạn dài.</t>
  </si>
  <si>
    <t>6. Nguồn: tên tài liệu hoặc URL. Nhiều nguồn thì cách nhau bằng dấu chấm phẩy ( ; ). Ưu tiên BCTN, BC PTBV, website ngân hàng hơn tin tức.</t>
  </si>
  <si>
    <t>7. Trang: số trang trong tài liệu (nếu là website thì ghi "web"). Năm: năm của tài liệu/bài đăng.</t>
  </si>
  <si>
    <t>8. Chỉ dùng dữ liệu công khai. Chấm theo minh chứng đã ghi, không chấm theo ấn tượng chung về ngân hàng.</t>
  </si>
  <si>
    <t>9. Không thêm/xóa/đổi thứ tự dòng, không đổi tên cột, không đổi mã tiêu chí (phải đủ 140 mã).</t>
  </si>
  <si>
    <t>VÍ DỤ ĐIỀN (chỉ minh họa, KHÔNG chép vào sheet Chấm điểm)</t>
  </si>
  <si>
    <t>Mã</t>
  </si>
  <si>
    <t>Level</t>
  </si>
  <si>
    <t>Minh chứng</t>
  </si>
  <si>
    <t>Nguồn</t>
  </si>
  <si>
    <t>Trang</t>
  </si>
  <si>
    <t>Năm</t>
  </si>
  <si>
    <t>1.1.1</t>
  </si>
  <si>
    <t>Ứng dụng gợi ý sản phẩm/ưu đãi theo hành vi giao dịch cho nhóm khách hàng cá nhân; chưa nêu phạm vi toàn ngân hàng.</t>
  </si>
  <si>
    <t>BCTN 2025; website mục Ngân hàng số</t>
  </si>
  <si>
    <t>1.1.2</t>
  </si>
  <si>
    <t>N/A</t>
  </si>
  <si>
    <t>Không tìm thấy thông tin công khai.</t>
  </si>
  <si>
    <t>TIẾN ĐỘ &amp; KIỂM TRA TỰ ĐỘNG</t>
  </si>
  <si>
    <t>Trụ cột</t>
  </si>
  <si>
    <t>Tổng tiêu chí</t>
  </si>
  <si>
    <t>Đã có Level (1–5)</t>
  </si>
  <si>
    <t>Còn trống</t>
  </si>
  <si>
    <t>1. Trụ cột Khách hàng</t>
  </si>
  <si>
    <t>2. Trụ cột Chiến lược</t>
  </si>
  <si>
    <t>3. Trụ cột Công nghệ</t>
  </si>
  <si>
    <t>4. Trụ cột Vận hành</t>
  </si>
  <si>
    <t>5. Trụ cột Văn hóa</t>
  </si>
  <si>
    <t>6. Trụ cột Dữ liệu</t>
  </si>
  <si>
    <t>TỔNG</t>
  </si>
  <si>
    <t>Level sai (khác 1–5 và N/A)</t>
  </si>
  <si>
    <t>Có Level 1–5 nhưng thiếu Minh chứng</t>
  </si>
  <si>
    <t>Có Level 1–5 nhưng thiếu Nguồn</t>
  </si>
  <si>
    <t>Mục tiêu: "Còn trống" = 0 và cả 3 ô kiểm tra = 0 trước khi nộp.</t>
  </si>
  <si>
    <t>Nhóm tiêu chí</t>
  </si>
  <si>
    <t>Tiêu chí</t>
  </si>
  <si>
    <t>Ghi chú</t>
  </si>
  <si>
    <t>Mức 1</t>
  </si>
  <si>
    <t>Mức 2</t>
  </si>
  <si>
    <t>Mức 3</t>
  </si>
  <si>
    <t>Mức 4</t>
  </si>
  <si>
    <t>Mức 5</t>
  </si>
  <si>
    <t>Góc nhìn của khách hàng đối với sản phẩm, dịch vụ</t>
  </si>
  <si>
    <t>Cá nhân hóa trải nghiệm</t>
  </si>
  <si>
    <t>SmartBanking X (07/2025) dùng AI/ML phân tích chi tiêu, dự đoán hành vi và gợi ý tính năng/ưu đãi theo nhu cầu; hai giao diện Pearl X/Emerald X (Emerald có hỗ trợ cá nhân 1:1); giải Sao Khuê 2025 cho tài khoản số đẹp cá nhân hóa dựa trên dữ liệu khách hàng.</t>
  </si>
  <si>
    <t>BIDV, Báo cáo thường niên 2025 (bidv.com.vn - Quan hệ nhà đầu tư); thitruongtaichinhtiente.vn, 'BIDV SmartBanking phiên bản X - dấu ấn tiên phong cùng loạt tính năng mới' (07/2025)</t>
  </si>
  <si>
    <t>12-13; 84-85</t>
  </si>
  <si>
    <t>Độ tin cậy: TB. Chưa có chỉ số đo mức độ cá nhân hóa toàn ngân hàng.</t>
  </si>
  <si>
    <t>Có ít hoặc chưa có cá nhân hóa trong trải nghiệm khách hàng.</t>
  </si>
  <si>
    <t>Một số khía cạnh trong trải nghiệm khách hàng được cá nhân hóa dựa trên thông tin về khách hàng thu thập được ở một số bộ phận, đơn vị chức năng.</t>
  </si>
  <si>
    <t>Một số khía cạnh trong trải nghiệm khách hàng được cá nhân hóa dựa trên thông tin về khách hàng thu thập được và triển khai ở một số cụm các bộ phận, đơn vị chức năng.</t>
  </si>
  <si>
    <t>Tất cả các khía cạnh trong trải nghiệm khách hàng được cá nhân hóa dựa trên thông tin về khách hàng thu thập được và triển khai trong toàn doanh nghiệp.</t>
  </si>
  <si>
    <t>Tất cả các khía cạnh trong trải nghiệm khách hàng được cá nhân hóa dựa trên thông tin về khách hàng thu thập được, triển khai trong toàn doanh nghiệp và các đối tác trong hệ sinh thái của doanh nghiệp.</t>
  </si>
  <si>
    <t>Tiếp thị mục tiêu</t>
  </si>
  <si>
    <t>SmartBanking X gợi ý ưu đãi theo nhu cầu; cán bộ dùng CRM và Daily Dashboard quản lý danh mục khách hàng theo phân khúc; AI hỗ trợ tư vấn.</t>
  </si>
  <si>
    <t>84-85; 98-99</t>
  </si>
  <si>
    <t>Độ tin cậy: TB. Chưa có số liệu hiệu quả tiếp thị nhắm mục tiêu.</t>
  </si>
  <si>
    <t>Có một số nội dung tiếp thị được nhắm mục tiêu.</t>
  </si>
  <si>
    <t>Hầu hết nội dung tiếp thị được nhắm mục tiêu.</t>
  </si>
  <si>
    <t>Hầu hết nội dung tiếp thị được nhắm mục tiêu và có liên quan đến bối cảnh của khách hàng.</t>
  </si>
  <si>
    <t>Tất cả nội dung tiếp thị trong doanh nghiệp được nhắm mục tiêu và có liên quan đến bối cảnh của khách hàng.</t>
  </si>
  <si>
    <t>Tất cả nội dung tiếp thị từ cả doanh nghiệp và các đối tác trong hệ sinh thái của doanh nghiệp đều được nhắm mục tiêu và có liên quan đến bối cảnh của khách hàng.</t>
  </si>
  <si>
    <t>1.1.3</t>
  </si>
  <si>
    <t>Tự tùy chỉnh</t>
  </si>
  <si>
    <t>SmartBanking X kiến trúc Plug &amp; Play, tự phục vụ: đầu tư tự động, vay ứng lương, mở thẻ online, quản lý tài chính, quản lý chứng khoán; chọn giao diện Pearl/Emerald.</t>
  </si>
  <si>
    <t>12-13</t>
  </si>
  <si>
    <t>Độ tin cậy: TB.</t>
  </si>
  <si>
    <t>Có rất ít công cụ sẵn có để cho phép khách hàng tùy chỉnh sản phẩm và dịch vụ.</t>
  </si>
  <si>
    <t>Một số công cụ có sẵn để cho phép khách hàng tùy chỉnh một số sản phẩm và dịch vụ.</t>
  </si>
  <si>
    <t>Một loạt các công cụ có sẵn để cho phép khách hàng tùy chỉnh tương đối đầy đủ cho một số sản phẩm và dịch vụ.</t>
  </si>
  <si>
    <t>Một loạt các công cụ được doanh nghiệp cung cấp cho phép khách hàng tùy chỉnh hoàn toàn cho các sản phẩm và dịch vụ của chính họ cùng một lúc.</t>
  </si>
  <si>
    <t>Một loạt các công cụ được doanh nghiệp và các đối tác trong hệ sinh thái của doanh nghiệp cung cấp cho phép khách hàng tùy chỉnh đầy đủ cho tất cả các sản phẩm và dịch vụ cùng một lúc.</t>
  </si>
  <si>
    <t>1.1.4</t>
  </si>
  <si>
    <t>Dễ sử dụng</t>
  </si>
  <si>
    <t>Điểm chất lượng dịch vụ tổng thể gần 97; hệ thống IT vận hành thông suốt khi khối lượng giao dịch tăng 1,5 lần; SmartBanking X làm mới giao diện (07/2025).</t>
  </si>
  <si>
    <t>Độ tin cậy: TB. Chưa có chỉ số riêng về mức độ dễ dàng (CES) nên giữ 3.</t>
  </si>
  <si>
    <t>Có rất ít hoạt động tương tác với doanh nghiệp khiến khách hàng cảm thấy dễ dàng được đáp ứng nhu cầu cá nhân.</t>
  </si>
  <si>
    <t>Một số tương tác với doanh nghiệp khiến khách hàng cảm thấy dễ dàng được đáp ứng nhu cầu cá nhân.</t>
  </si>
  <si>
    <t>Hầu hết các tương tác với doanh nghiệp khiến khách hàng cảm thấy dễ dàng được đáp ứng nhu cầu cá nhân.</t>
  </si>
  <si>
    <t>Tất cả các tương tác với doanh nghiệp khiến khách hàng cảm thấy dễ dàng được đáp ứng nhu cầu cá nhân.</t>
  </si>
  <si>
    <t>Tất cả các tương tác với doanh nghiệp và các đối tác trong hệ sinh thái của doanh nghiệp khiến khách hàng cảm thấy dễ dàng được đáp ứng nhu cầu cá nhân.</t>
  </si>
  <si>
    <t>1.1.5</t>
  </si>
  <si>
    <t>Mức độ hứng thú của khách hàng</t>
  </si>
  <si>
    <t>NPS 76,7% phản ánh mức độ gắn kết tích cực, xu hướng duy trì quan hệ lâu dài của khách hàng.</t>
  </si>
  <si>
    <t>BIDV, Báo cáo thường niên 2025 (bidv.com.vn - Quan hệ nhà đầu tư)</t>
  </si>
  <si>
    <t>84-85</t>
  </si>
  <si>
    <t>Độ tin cậy: Thấp. NPS dùng làm chỉ báo gián tiếp.</t>
  </si>
  <si>
    <t>Có rất ít hoạt động tương tác của khách hàng với doanh nghiệp khiến khách hàng cảm thấy thú vị.</t>
  </si>
  <si>
    <t>Một số hoạt động tương tác của khách hàng với doanh nghiệp khiến khách hàng cảm thấy thú vị.</t>
  </si>
  <si>
    <t>Hầu hết hoạt động tương tác của khách hàng với doanh nghiệp khiến khách hàng cảm thấy thú vị.</t>
  </si>
  <si>
    <t>Tất cả hoạt động tương tác của khách hàng với doanh nghiệp khiến khách hàng cảm thấy thú vị.</t>
  </si>
  <si>
    <t>Tất cả hoạt động tương tác của khách hàng với doanh nghiệp và các đối tác trong hệ sinh thái của doanh nghiệp khiến khách hàng cảm thấy thú vị.</t>
  </si>
  <si>
    <t>1.1.6</t>
  </si>
  <si>
    <t>Tương tác số</t>
  </si>
  <si>
    <t>96% giao dịch tài chính khách hàng cá nhân và 56% khách hàng tổ chức qua kênh số; ~12 triệu người dùng SmartBanking; BCTN nêu đại đa số sản phẩm dịch vụ đã số hóa toàn trình.</t>
  </si>
  <si>
    <t>thitruongtaichinhtiente.vn, 'BIDV tiên phong với chiến lược kép: số hóa - xanh hóa' (10/2025); BIDV, Báo cáo thường niên 2025 (bidv.com.vn - Quan hệ nhà đầu tư)</t>
  </si>
  <si>
    <t>88-89</t>
  </si>
  <si>
    <t>Độ tin cậy: Cao. Tỷ lệ khách hàng tổ chức mới 56% nên chấm 3.</t>
  </si>
  <si>
    <t>Có rất ít tương tác có thể được thực hiện trên các kênh số.</t>
  </si>
  <si>
    <t>Một số tương tác của khách hàng với doanh nghiệp có thể được thực hiện trên các kênh số.</t>
  </si>
  <si>
    <t>Hầu hết các tương tác của khách hàng với doanh nghiệp có thể được thực hiện trên các kênh số.</t>
  </si>
  <si>
    <t>Tất cả các tương tác của khách hàng với doanh nghiệp có thể được thực hiện trên các kênh số.</t>
  </si>
  <si>
    <t>Tất cả các tương tác của khách hàng với doanh nghiệp và các đối tác trong hệ sinh thái của doanh nghiệp có thể được thực hiện trên các kênh số.</t>
  </si>
  <si>
    <t>1.1.7</t>
  </si>
  <si>
    <t>Chủ động chăm sóc</t>
  </si>
  <si>
    <t>SmartBanking X dùng AI/ML phát hiện sớm và cảnh báo giao dịch nghi ngờ; truyền thông cảnh báo rủi ro gian lận cho khách hàng.</t>
  </si>
  <si>
    <t>thitruongtaichinhtiente.vn, 'BIDV SmartBanking phiên bản X - dấu ấn tiên phong cùng loạt tính năng mới' (07/2025); BIDV, Báo cáo thường niên 2025 (bidv.com.vn - Quan hệ nhà đầu tư)</t>
  </si>
  <si>
    <t>Có rất ít nhu cầu hoặc vấn đề của khách hàng được doanh nghiệp dự đoán trước.</t>
  </si>
  <si>
    <t>Một số nhu cầu hoặc vấn đề của khách hàng được doanh nghiệp dự đoán trước.</t>
  </si>
  <si>
    <t>Hầu hết các nhu cầu hoặc vấn đề của khách hàng đều được doanh nghiệp dự đoán trước.</t>
  </si>
  <si>
    <t>Tất cả các nhu cầu hoặc vấn đề của khách hàng đều được doanh nghiệp dự đoán trước.</t>
  </si>
  <si>
    <t>Tất cả các nhu cầu hoặc vấn đề của khách hàng đều được doanh nghiệp hoặc các đối tác trong hệ sinh thái của doanh nghiệp dự đoán trước.</t>
  </si>
  <si>
    <t>1.1.8</t>
  </si>
  <si>
    <t>Gắn kết xã hội</t>
  </si>
  <si>
    <t>Hàng trăm chương trình an sinh xã hội; khoảng 200 kiosk y tế thông minh; truyền thông hướng dẫn khách hàng sử dụng dịch vụ an toàn.</t>
  </si>
  <si>
    <t>78-79; 84-85</t>
  </si>
  <si>
    <t>Độ tin cậy: Thấp. Là hoạt động cộng đồng, chưa phải gắn kết xã hội giữa khách hàng.</t>
  </si>
  <si>
    <t>Sự gắn kết xã hội chưa được xem xét.</t>
  </si>
  <si>
    <t>Ít nhất một đơn vị bộ phận, đơn vị chức năng có hoạt động thúc đẩy sự gắn kết xã hội với và giữa các khách hàng để khuyến khích sự trung thành.</t>
  </si>
  <si>
    <t>Hầu hết các đơn vị bộ phận, đơn vị chức năng có hoạt động thúc đẩy sự gắn kết xã hội với và giữa các khách hàng để khuyến khích sự trung thành.</t>
  </si>
  <si>
    <t>Toàn bộ các đơn vị bộ phận, đơn vị chức năng có hoạt động thúc đẩy sự gắn kết xã hội với và giữa các khách hàng để khuyến khích sự trung thành.</t>
  </si>
  <si>
    <t>Toàn bộ các đơn vị bộ phận, đơn vị chức năng của doanh nghiệp và các đối tác trong hệ sinh thái có hoạt động thúc đẩy sự gắn kết xã hội với và giữa các khách hàng để khuyến khích sự trung thành.</t>
  </si>
  <si>
    <t>1.1.9</t>
  </si>
  <si>
    <t>Thúc đẩy mức độ trung thành</t>
  </si>
  <si>
    <t>Các chương trình thúc đẩy sự trung thành chưa được doanh nghiệp tích cực xem xét.</t>
  </si>
  <si>
    <t>Doanh nghiệp khuyến khích toàn bộ các bộ phận, đơn vị chức năng có liên quan đến khách hàng triển khai các hành động để thúc đẩy sự trung thành của khách hàng với thương hiệu.</t>
  </si>
  <si>
    <t>Một số bộ phận, đơn vị chức năng có hành động thực tế thúc đẩy sự trung thành của khách hàng với thương hiệu.</t>
  </si>
  <si>
    <t>Toàn bộ các bộ phận, đơn vị chức năng liên quan đến khách hàng có hành động thực tế thúc đẩy sự trung thành của khách hàng với thương hiệu.</t>
  </si>
  <si>
    <t>Toàn bộ các bộ phận, đơn vị chức năng liên quan đến khách hàng và hệ sinh thái có hành động thực tế thúc đẩy sự trung thành của khách hàng với thương hiệu.</t>
  </si>
  <si>
    <t>Quản lý trải nghiệm khách hàng</t>
  </si>
  <si>
    <t>1.2.1</t>
  </si>
  <si>
    <t>Tầm nhìn về trải nghiệm khách hàng</t>
  </si>
  <si>
    <t>BIDV 'kiên định định hướng lấy khách hàng làm trọng tâm', coi chăm sóc và bảo vệ quyền lợi khách hàng là nền tảng; quản lý trải nghiệm theo hướng lắng nghe chủ động, phản hồi kịp thời, cải tiến liên tục; định vị 'Thân thiện - Hiện đại - Nghĩa tình'.</t>
  </si>
  <si>
    <t>82-85; 90-91</t>
  </si>
  <si>
    <t>Độ tin cậy: Cao.</t>
  </si>
  <si>
    <t>Doanh nghiệp chưa có bất kỳ tầm nhìn về trải nghiệm khách hàng.</t>
  </si>
  <si>
    <t>Một số bộ phận, đơn vị chức năng đã bắt đầu xác định tầm nhìn về trải nghiệm của khách hàng.</t>
  </si>
  <si>
    <t>Doanh nghiệp có một tầm nhìn về trải nghiệm khách hàng được xác định rõ ràng, được một số bộ phận, đơn vị chức năng áp dụng.</t>
  </si>
  <si>
    <t>Doanh nghiệp có tầm nhìn chung về trải nghiệm khách hàng được xác định rõ ràng và dễ hiểu.</t>
  </si>
  <si>
    <t>Doanh nghiệp và các đối tác trong hệ sinh thái của doanh nghiệp có tầm nhìn chung về trải nghiệm khách hàng được xác định rõ ràng và dễ hiểu.</t>
  </si>
  <si>
    <t>1.2.2</t>
  </si>
  <si>
    <t>Thiết kế theo định hướng của trải nghiệm khách hàng</t>
  </si>
  <si>
    <t>Dự án chuyển đổi toàn diện ngân hàng bán lẻ thực thi theo chuẩn tư vấn quốc tế; cán bộ dùng CRM, Daily Dashboard; Contact Center đa kênh hợp nhất hướng tới trải nghiệm nhất quán.</t>
  </si>
  <si>
    <t>Trải nghiệm khách hàng chưa được xem xét một cách có chủ ý.</t>
  </si>
  <si>
    <t>Trải nghiệm khách hàng được xem xét bởi ít nhất một bộ phận, đơn vị chức năng của doanh nghiệp trong việc thiết kế và triển khai các sản phẩm và dịch vụ.</t>
  </si>
  <si>
    <t>Trải nghiệm khách hàng được xem xét bởi hầu hết các bộ phận, đơn vị chức năng của doanh nghiệp trong việc thiết kế và triển khai các sản phẩm và dịch vụ.</t>
  </si>
  <si>
    <t>Trải nghiệm khách hàng được doanh nghiệp xem xét đầy đủ trong thiết kế và triển khai các sản phẩm và dịch vụ.</t>
  </si>
  <si>
    <t>Trải nghiệm của khách hàng được doanh nghiệp và các đối tác trong hệ sinh thái của doanh nghiệp xem xét đầy đủ trong quá trình thiết kế và triển khai các sản phẩm và dịch vụ.</t>
  </si>
  <si>
    <t>1.2.3</t>
  </si>
  <si>
    <t>Có ngân sách đầu tư để đạt các mục tiêu trải nghiệm khách hàng</t>
  </si>
  <si>
    <t>Chưa tách ngân sách trải nghiệm khách hàng.</t>
  </si>
  <si>
    <t>Doanh nghiệp chưa có kế hoạch đầu tư để đạt được tầm nhìn trải nghiệm của khách hàng.</t>
  </si>
  <si>
    <t>Ít nhất một đơn vị bộ phận, đơn vị chức năng trong doanh nghiệp lên kế hoạch đầu tư để đạt được tầm nhìn trải nghiệm khách hàng của mình.</t>
  </si>
  <si>
    <t>Hầu hết các bộ phận, đơn vị chức năng trong doanh nghiệp đều lên kế hoạch đầu tư để đạt được tầm nhìn về trải nghiệm khách hàng của họ.</t>
  </si>
  <si>
    <t>Toàn bộ bộ phận, đơn vị chức năng có liên quan đến khách hàng có kế hoạch đầu tư để đạt được tầm nhìn về trải nghiệm của khách hàng.</t>
  </si>
  <si>
    <t>Toàn bộ bộ phận, đơn vị chức năng có liên quan đến khách hàng và hệ sinh thái có kế hoạch đầu tư để đạt được tầm nhìn về trải nghiệm của khách hàng.</t>
  </si>
  <si>
    <t>1.2.4</t>
  </si>
  <si>
    <t>Phạm vi danh mục sản phẩm và dịch vụ</t>
  </si>
  <si>
    <t>Danh mục số: SmartBanking X, BIDV Direct (ngân hàng số mới cho doanh nghiệp), MyShop Pro, Etax Mobile, thanh toán Cổng dịch vụ công quốc gia; hơn 40 giải thưởng 2025 (Ngân hàng bán lẻ tốt nhất VN, 7 giải Sao Khuê).</t>
  </si>
  <si>
    <t>BIDV, Báo cáo thường niên 2025 (bidv.com.vn - Quan hệ nhà đầu tư); thitruongtaichinhtiente.vn, 'BIDV triển khai nhiệm vụ kinh doanh năm 2026' (Etax Mobile, MyShop Pro)</t>
  </si>
  <si>
    <t>12-15; 88-91</t>
  </si>
  <si>
    <t>Trải nghiệm khách hàng chưa được xem xét trong phát triển danh mục sản phẩm và dịch vụ.</t>
  </si>
  <si>
    <t>Trải nghiệm khách hàng là một phần của danh mục sản phẩm và dịch vụ được cung cấp bởi ít nhất một bộ phận, đơn vị chức năng.</t>
  </si>
  <si>
    <t>Trải nghiệm khách hàng là một phần không thể thiếu trong danh mục sản phẩm và dịch vụ được cung cấp bởi hầu hết các bộ phận, đơn vị chức năng.</t>
  </si>
  <si>
    <t>Trải nghiệm khách hàng là một phần không thể thiếu trong danh mục sản phẩm và dịch vụ do doanh nghiệp cung cấp.</t>
  </si>
  <si>
    <t>Trải nghiệm của khách hàng là một phần không thể thiếu trong danh mục sản phẩm và dịch vụ do doanh nghiệp và các đối tác trong hệ sinh thái của doanh nghiệp cung cấp.</t>
  </si>
  <si>
    <t>1.2.5</t>
  </si>
  <si>
    <t>Quá trình đăng ký sử dụng sản phẩm và dịch vụ</t>
  </si>
  <si>
    <t>Định danh điện tử cho khách hàng tổ chức (Sao Khuê 2025); mở thẻ online, vay ứng lương tự động trên SmartBanking; đăng ký bằng eKYC.</t>
  </si>
  <si>
    <t>Trải nghiệm của khách hàng chưa được đưa vào quá trình tiếp cận và giới thiệu đăng ký sản phẩm và dịch vụ cho khách hàng mới.</t>
  </si>
  <si>
    <t>Có ít nhất một bộ phận, đơn vị chức năng đưa trải nghiệm khách hàng vào quá trình tiếp cận và giới thiệu đăng ký sản phẩm và dịch vụ dành cho khách hàng mới.</t>
  </si>
  <si>
    <t>Hầu hết các bộ phận, đơn vị chức năng đưa trải nghiệm khách hàng vào quá trình tiếp cận và giới thiệu đăng ký sản phẩm và dịch vụ dành cho khách hàng mới.</t>
  </si>
  <si>
    <t>Toàn bộ doanh nghiệp đưa trải nghiệm khách hàng vào quá trình tiếp cận và giới thiệu đăng ký sản phẩm và dịch vụ dành cho khách hàng mới.</t>
  </si>
  <si>
    <t>Toàn bộ doanh nghiệp và hệ sinh thái của doanh nghiệp đưa trải nghiệm khách hàng được đưa vào quá trình tiếp cận và giới thiệu đăng ký sản phẩm và dịch vụ dành cho khách hàng mới.</t>
  </si>
  <si>
    <t>1.2.6</t>
  </si>
  <si>
    <t>Đa kênh hợp nhất</t>
  </si>
  <si>
    <t>Contact Center đa kênh hợp nhất, trải nghiệm hỗ trợ nhất quán trên mọi kênh; Chatbot mở rộng trên nền tảng ngân hàng số cho cả khách hàng doanh nghiệp.</t>
  </si>
  <si>
    <t>Độ tin cậy: TB. BCTN dùng 'từng bước hoàn thiện' nên chấm 3.</t>
  </si>
  <si>
    <t>Khách hàng chưa thể bắt đầu hành trình trên một kênh/thiết bị và tiếp tục ở một kênh/thiết bị khác.</t>
  </si>
  <si>
    <t>Doanh nghiệp quản lý được bối cảnh của một số cấu phần trong hành trình khách hàng liên thông trên hầu hết các kênh và thiết bị.</t>
  </si>
  <si>
    <t>Doanh nghiệp quản lý được bối cảnh của hầu hết các hành trình khách hàng liên thông trên hầu hết các kênh và thiết bị.</t>
  </si>
  <si>
    <t>Doanh nghiệp quản lý được bối cảnh của toàn bộ các hành trình khách hàng liên thông trên tất cả các kênh và thiết bị.</t>
  </si>
  <si>
    <t>Doanh nghiệp và hệ sinh thái quản lý được bối cảnh của toàn bộ các hành trình khách hàng liên thông trên tất cả các kênh và thiết bị.</t>
  </si>
  <si>
    <t>1.2.7</t>
  </si>
  <si>
    <t>Đo lường trải nghiệm khách hàng</t>
  </si>
  <si>
    <t>Khảo sát quy mô lớn trên mọi kênh (chi nhánh, tổng đài, kênh số); điểm chất lượng dịch vụ ~97, NPS 76,7%; phản hồi chưa hài lòng được xử lý ưu tiên và dùng để cải tiến.</t>
  </si>
  <si>
    <t>Độ tin cậy: TB. Chưa nêu quy mô mẫu.</t>
  </si>
  <si>
    <t>Hiệu suất hành trình khách hàng chưa được đo lường.</t>
  </si>
  <si>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</si>
  <si>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đo lường được hiệu quả của tất cả hành trình khách hàng và một số giai đoạn riêng lẻ trong hành trình của khách hàng.</t>
  </si>
  <si>
    <t>Doanh nghiệp đo lường được hiệu quả của tất cả hành trình khách hàng và các giai đoạn riêng lẻ trong hành trình của khách hàng.</t>
  </si>
  <si>
    <t>Doanh nghiệp và hệ sinh thái đo lường được hiệu quả của tất cả hành trình khách hàng và các giai đoạn riêng lẻ trong hành trình của khách hàng.</t>
  </si>
  <si>
    <t>1.2.8</t>
  </si>
  <si>
    <t>Quản lý hành trình khách hàng</t>
  </si>
  <si>
    <t>Quản lý trải nghiệm theo vòng lặp lắng nghe - phản hồi - cải tiến; phân tích tương tác bằng AI giúp nhận diện sai lệch trong tư vấn.</t>
  </si>
  <si>
    <t>Độ tin cậy: Thấp. Chưa có bản đồ hành trình khách hàng được công bố.</t>
  </si>
  <si>
    <t>Hiệu suất của hành trình của khách hàng chưa được quản lý.</t>
  </si>
  <si>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t>
  </si>
  <si>
    <t>Doanh nghiệp quản lý được hiệu quả của tất cả hành trình khách hàng và một số giai đoạn riêng lẻ trong hành trình của khách hàng.</t>
  </si>
  <si>
    <t>Doanh nghiệp quản lý được hiệu quả của tất cả hành trình khách hàng và các giai đoạn riêng lẻ trong hành trình của khách hàng.</t>
  </si>
  <si>
    <t>Doanh nghiệp và hệ sinh thái quản lý được hiệu quả của tất cả hành trình khách hàng và các giai đoạn riêng lẻ trong hành trình của khách hàng.</t>
  </si>
  <si>
    <t>Thấu hiểu khách hàng</t>
  </si>
  <si>
    <t>1.3.1</t>
  </si>
  <si>
    <t>Góc nhìn 360 độ về khách hàng</t>
  </si>
  <si>
    <t>Chuyển đổi bán lẻ: quản lý theo phân khúc, CRM, Daily Dashboard, ứng dụng công nghệ và dữ liệu lớn trong kinh doanh.</t>
  </si>
  <si>
    <t>88-89; 98-99</t>
  </si>
  <si>
    <t>Doanh nghiệp chưa có góc nhìn 360 độ về khách hàng.</t>
  </si>
  <si>
    <t>Doanh nghiệp duy trì góc nhìn 360 độ của một số khách hàng.</t>
  </si>
  <si>
    <t>Doanh nghiệp duy trì góc nhìn 360 độ của hầu hết khách hàng.</t>
  </si>
  <si>
    <t>Doanh nghiệp luôn duy trì góc nhìn 360 độ về tất cả khách hàng.</t>
  </si>
  <si>
    <t>Doanh nghiệp và các đối tác trong hệ sinh thái của mình luôn duy trì góc nhìn 360 độ về tất cả khách hàng.</t>
  </si>
  <si>
    <t>1.3.2</t>
  </si>
  <si>
    <t>Nguồn khai thác dữ liệu tin cậy duy nhất</t>
  </si>
  <si>
    <t>Core Banking Profile (go-live 03/09/2023) tích hợp hàng trăm ứng dụng; nghiên cứu học thuật ghi nhận hạn chế về đồng bộ dữ liệu.</t>
  </si>
  <si>
    <t>BIDV, Báo cáo thường niên 2025 (bidv.com.vn - Quan hệ nhà đầu tư); FIS Global, BIDV Client Story (core banking Profile); The Asian Banker, 'Best Core Banking Technology Implementation in Vietnam 2024' (bidv.com.vn); nghiencuu.tapchikinhtetaichinh.vn, 'Thực trạng chuyển đổi số và ứng dụng AI tại BIDV và một số đề xuất kiến nghị'</t>
  </si>
  <si>
    <t>20-21</t>
  </si>
  <si>
    <t>Độ tin cậy: Thấp.</t>
  </si>
  <si>
    <t>Doanh nghiệp chưa có một nguồn tin cậy duy nhất cho bất kỳ thông tin nào của khách hàng.</t>
  </si>
  <si>
    <t>Có một nguồn tin cậy duy nhất cho một số yếu tố của thông tin khách hàng trong toàn doanh nghiệp.</t>
  </si>
  <si>
    <t>Có một nguồn tin cậy duy nhất cho hầu hết các yếu tố thông tin khách hàng trong toàn doanh nghiệp.</t>
  </si>
  <si>
    <t>Có một nguồn tin cậy duy nhất cho toàn bộ thông tin khách hàng trong toàn doanh nghiệp.</t>
  </si>
  <si>
    <t>Có một nguồn tin cậy duy nhất cho toàn bộ thông tin khách hàng trong toàn doanh nghiệp và các đối tác trong hệ sinh thái của doanh nghiệp.</t>
  </si>
  <si>
    <t>1.3.3</t>
  </si>
  <si>
    <t>Nhu cầu của khách hàng</t>
  </si>
  <si>
    <t>Phân tích tương tác khách hàng bằng AI, công cụ hỗ trợ tư vấn; khảo sát quy mô lớn để hiểu kỳ vọng; quản lý theo phân khúc.</t>
  </si>
  <si>
    <t>Kỳ vọng, sở thích và những điều khách hàng chưa hài lòng chưa được tích cực xem xét.</t>
  </si>
  <si>
    <t>Kỳ vọng, sở thích và những điều khách hàng chưa hài lòng tích cực xem xét ở một số bộ phận, đơn vị chức năng.</t>
  </si>
  <si>
    <t>Kỳ vọng, sở thích và những điều khách hàng chưa hài lòng được tích cực xem xét trên hầu hết các bộ phận, đơn vị chức năng.</t>
  </si>
  <si>
    <t>Tất cả các kỳ vọng, sở thích và những điều khách hàng chưa hài lòng đều được tích cực xem xét trong toàn doanh nghiệp.</t>
  </si>
  <si>
    <t>Tất cả các kỳ vọng, sở thích và những điều khách hàng chưa hài lòng đều được tích cực xem xét trong toàn doanh nghiệp và các đối tác trong hệ sinh thái của doanh nghiệp.</t>
  </si>
  <si>
    <t>Niềm tin của khách hàng</t>
  </si>
  <si>
    <t>1.4.1</t>
  </si>
  <si>
    <t>Cam kết thương hiệu</t>
  </si>
  <si>
    <t>Cam kết về thương hiệu hiếm khi phù hợp với kỳ vọng của khách hàng.</t>
  </si>
  <si>
    <t>Một số bộ phận, đơn vị chức năng (có liên quan đến cam kết thương hiệu) trong doanh nghiệp đáp ứng các kỳ vọng của khách hàng phù hợp với cam kết thương hiệu của doanh nghiệp.</t>
  </si>
  <si>
    <t>Hầu hết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</si>
  <si>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đáp ứng các kỳ vọng của khách hàng phù hợp với cam kết thương hiệu của doanh nghiệp.</t>
  </si>
  <si>
    <t>Toàn bộ các bộ phận, đơn vị chức năng (có liên quan đến cam kết thương hiệu) trong doanh nghiệp và hệ sinh thái doanh nghiệp đáp ứng các kỳ vọng của khách hàng phù hợp với cam kết thương hiệu của doanh nghiệp.</t>
  </si>
  <si>
    <t>1.4.2</t>
  </si>
  <si>
    <t>Xử lý phản ánh khách hàng</t>
  </si>
  <si>
    <t>Nhiều kênh tiếp nhận phản ánh/khiếu nại (trực tiếp, tổng đài, văn bản, email); 100% phản ánh và khiếu nại năm 2025 được tiếp nhận và phối hợp xử lý, có giám sát của Trụ sở chính.</t>
  </si>
  <si>
    <t>Khiếu nại nhận được hiếm khi được trả lời hoặc rút kinh nghiệm một cách thích hợp.</t>
  </si>
  <si>
    <t>Một số khiếu nại nhận được được phản hồi một cách thích hợp và có những cải tiến liên quan.</t>
  </si>
  <si>
    <t>Hầu hết các khiếu nại nhận được đều được phản hồi một cách thích hợp và dẫn tới các cải tiến liên quan.</t>
  </si>
  <si>
    <t>Toàn bộ các khiếu nại nhận được đều được phản hồi một cách thích hợp và có sự cải tiến liên tục trong toàn doanh nghiệp.</t>
  </si>
  <si>
    <t>Toàn bộ các khiếu nại nhận được đều được phản hồi một cách thích hợp và có sự cải tiến liên tục trong toàn doanh nghiệp và các đối tác trong hệ sinh thái của doanh nghiệp.</t>
  </si>
  <si>
    <t>1.4.3</t>
  </si>
  <si>
    <t>Quyền riêng tư</t>
  </si>
  <si>
    <t>Cam kết minh bạch thông tin, thông báo chủ động thay đổi phí/lãi suất; theo dõi Luật Bảo vệ dữ liệu cá nhân 2025 (dữ liệu sinh trắc học).</t>
  </si>
  <si>
    <t>56-57; 84-85</t>
  </si>
  <si>
    <t>Độ tin cậy: TB. Chưa công bố chính sách quyền riêng tư của khách hàng trong BCTN.</t>
  </si>
  <si>
    <t>Khách hàng chưa tin tưởng doanh nghiệp sẽ đảm bảo quyền riêng tư của họ.</t>
  </si>
  <si>
    <t>Một số khách hàng tin tưởng doanh nghiệp sẽ thiết kế đảm bảo quyền riêng tư của họ.</t>
  </si>
  <si>
    <t>Hầu hết khách hàng tin tưởng doanh nghiệp sẽ thiết kế đảm bảo quyền riêng tư của họ.</t>
  </si>
  <si>
    <t>Toàn bộ khách hàng tin tưởng doanh nghiệp sẽ thiết kế đảm bảo quyền riêng tư của họ.</t>
  </si>
  <si>
    <t>Toàn bộ khách hàng tin tưởng doanh nghiệp và hệ sinh thái của doanh nghiệp sẽ thiết kế đảm bảo quyền riêng tư của họ.</t>
  </si>
  <si>
    <t>1.4.4</t>
  </si>
  <si>
    <t>Kiểm soát thông tin cá nhân, dữ liệu cá nhân</t>
  </si>
  <si>
    <t>Người dùng chưa thể kiểm soát cách thông tin cá nhân, dữ liệu cá nhân của họ được sử dụng.</t>
  </si>
  <si>
    <t>Người dùng có thể kiểm soát cách doanh nghiệp sử dụng một số thông tin cá nhân, dữ liệu cá nhân của họ.</t>
  </si>
  <si>
    <t>Người dùng có thể kiểm soát cách doanh nghiệp sử dụng hầu hết thông tin cá nhân, dữ liệu cá nhân của họ.</t>
  </si>
  <si>
    <t>Người dùng nhận thức được và có thể dễ dàng kiểm soát cách doanh nghiệp sử dụng tất cả thông tin cá nhân, dữ liệu cá nhân của họ.</t>
  </si>
  <si>
    <t>Người dùng biết và có thể dễ dàng kiểm soát cách doanh nghiệp và các đối tác trong hệ sinh thái sử dụng tất cả thông tin cá nhân, dữ liệu cá nhân của họ.</t>
  </si>
  <si>
    <t>1.4.5</t>
  </si>
  <si>
    <t>Thúc đẩy niềm tin khách hàng</t>
  </si>
  <si>
    <t>Giải Visa 'Ngân hàng an toàn, bảo mật thẻ'; giải ESG 'Ngân hàng có công nghệ ưu việt hỗ trợ quản trị rủi ro bền vững'; BIDV Direct chặn giao dịch nếu chưa định danh sinh trắc học (07/2025); tăng cường cảnh báo gian lận.</t>
  </si>
  <si>
    <t>BIDV, Báo cáo thường niên 2025 (bidv.com.vn - Quan hệ nhà đầu tư); sggp.org.vn, 'BIDV nỗ lực làm chủ công nghệ để bứt phá tương lai số' (2025)</t>
  </si>
  <si>
    <t>14-15; 84-85</t>
  </si>
  <si>
    <t>Niềm tin của khách hàng chưa được đưa vào xem xét trong định hướng kinh doanh của doanh nghiệp.</t>
  </si>
  <si>
    <t>Một số bộ phận, đơn vị chức năng tiến hành kinh doanh theo cách thúc đẩy tạo niềm tin cho khách hàng.</t>
  </si>
  <si>
    <t>Hầu hết các bộ phận, đơn vị chức năng tiến hành kinh doanh theo cách thúc đẩy vào sự tin tưởng của khách hàng.</t>
  </si>
  <si>
    <t>Hoạt động kinh doanh được thực hiện bởi doanh nghiệp theo cách tối đa hóa niềm tin của khách hàng.</t>
  </si>
  <si>
    <t>Hoạt động kinh doanh được thực hiện bởi doanh nghiệp và các đối tác trong hệ sinh thái của doanh nghiệp theo cách tối đa hóa niềm tin của khách hàng.</t>
  </si>
  <si>
    <t>Quản lý marketing và thương hiệu</t>
  </si>
  <si>
    <t>2.1.1</t>
  </si>
  <si>
    <t>Chiến lược thương hiệu</t>
  </si>
  <si>
    <t>Áp dụng nhận diện thương hiệu mới (05/03/2025); Top 5 doanh nghiệp giá trị thương hiệu cao nhất VN; truyền thông thương hiệu triển khai đồng bộ.</t>
  </si>
  <si>
    <t>20-21; 90-91; 96-97</t>
  </si>
  <si>
    <t>Chiến lược thương hiệu số chưa tồn tại hoặc chỉ tồn tại theo sự vụ.</t>
  </si>
  <si>
    <t>Chiến lược thương hiệu số với nguyên tắc thương hiệu được áp dụng và hiểu tại một số bộ phận, đơn vị chức năng.</t>
  </si>
  <si>
    <t>Một chiến lược thương hiệu số với nguyên tắc thương hiệu được hiểu và áp dụng bởi hầu hết các bộ phận, đơn vị chức năng.</t>
  </si>
  <si>
    <t>Một chiến lược thương hiệu số với nguyên tắc thương hiệu được áp dụng và được hiểu trong toàn bộ doanh nghiệp.</t>
  </si>
  <si>
    <t>Một chiến lược thương hiệu số thống nhất với các nguyên tắc thương hiệu được áp dụng và được hiểu trong toàn bộ doanh nghiệp và các đối tác trong hệ sinh thái của doanh nghiệp.</t>
  </si>
  <si>
    <t>2.1.2</t>
  </si>
  <si>
    <t>Quản trị thương hiệu</t>
  </si>
  <si>
    <t>Truyền thông và phát triển thương hiệu triển khai đồng bộ; chỉ số nhận biết thương hiệu tăng một bậc, đứng thứ hai toàn ngành.</t>
  </si>
  <si>
    <t>90-91</t>
  </si>
  <si>
    <t>Quản trị thương hiệu kỹ thuật số chưa tồn tại hoặc là tồn tại theo sự vụ.</t>
  </si>
  <si>
    <t>Một số bộ phận, đơn vị chức năng tuân thủ theo các quy tắc được thiết lập trong cấu trúc quản trị.</t>
  </si>
  <si>
    <t>Hầu hết các bộ phận, đơn vị chức năng tuân thủ các quy tắc được thiết lập trong cấu trúc quản trị.</t>
  </si>
  <si>
    <t>Toàn bộ doanh nghiệp tuân thủ các quy tắc được thiết lập trong cơ cấu quản trị.</t>
  </si>
  <si>
    <t>Toàn bộ doanh nghiệp và các đối tác trong hệ sinh thái của doanh nghiệp tuân thủ các quy tắc được thiết lập trong cơ cấu quản trị.</t>
  </si>
  <si>
    <t>2.1.3</t>
  </si>
  <si>
    <t>Chỉ số đo lường thương hiệu</t>
  </si>
  <si>
    <t>Theo dõi các chỉ số thương hiệu (nhận biết thương hiệu xếp thứ hai ngành); hơn 40 giải thưởng về thương hiệu, quản trị, chuyển đổi số, chất lượng dịch vụ.</t>
  </si>
  <si>
    <t>Chỉ số phản ánh hoạt động của thương hiệu số được đo lường theo sự vụ.</t>
  </si>
  <si>
    <t>Có một quy trình được thực hiện ở một số bộ phận, đơn vị chức năng để đo lường chỉ số phản ánh hoạt động của thương hiệu số.</t>
  </si>
  <si>
    <t>Có một quy trình được áp dụng trên hầu hết các bộ phận, đơn vị chức năng để đo lường chỉ số phản ánh hoạt động của thương hiệu số.</t>
  </si>
  <si>
    <t>Có một quy trình hiệu quả trong toàn bộ doanh nghiệp để đo lường chỉ số phản ánh hoạt động của thương hiệu số.</t>
  </si>
  <si>
    <t>Có một quy trình hiệu quả được áp dụng trong toàn bộ doanh nghiệp và các đối tác trong hệ sinh thái của doanh nghiệp để đo lường chỉ số phản ánh hoạt động của thương hiệu số.</t>
  </si>
  <si>
    <t>2.1.4</t>
  </si>
  <si>
    <t>Chiến lược tiếp thị</t>
  </si>
  <si>
    <t>Chiến lược truyền thông khẳng định hình ảnh ngân hàng xanh và thực hành ESG toàn diện (định hướng 2026).</t>
  </si>
  <si>
    <t>102-103</t>
  </si>
  <si>
    <t>Độ tin cậy: Thấp. Chưa có chiến lược tiếp thị số riêng.</t>
  </si>
  <si>
    <t>Chiến lược tiếp thị số chưa phù hợp với chiến lược tổng thể.</t>
  </si>
  <si>
    <t>Một số bộ phận, đơn vị chức năng có chiến lược tiếp thị số phù hợp với chiến lược tổng thể.</t>
  </si>
  <si>
    <t>Hầu hết các bộ phận, đơn vị chức năng đều có chiến lược tiếp thị số phù hợp với chiến lược tổng thể.</t>
  </si>
  <si>
    <t>Toàn bộ doanh nghiệp có chiến lược tiếp thị số phù hợp với chiến lược tổng thể.</t>
  </si>
  <si>
    <t>Toàn bộ doanh nghiệp và các đối tác trong hệ sinh thái của doanh nghiệp thống nhất về chiến lược tiếp thị số phù hợp với chiến lược hệ sinh thái tổng thể.</t>
  </si>
  <si>
    <t>Quản lý hệ sinh thái</t>
  </si>
  <si>
    <t>2.2.1</t>
  </si>
  <si>
    <t>Hệ sinh thái kinh doanh</t>
  </si>
  <si>
    <t>Chiến lược 2026-2030: tìm động lực tăng trưởng mới cho toàn Hệ sinh thái Tập đoàn BIDV; công ty con, liên doanh (BSC, BIC...); ngân hàng số BIDV Direct cho doanh nghiệp.</t>
  </si>
  <si>
    <t>BIDV, Báo cáo thường niên 2025 (bidv.com.vn - Quan hệ nhà đầu tư); vnexpress.net, mục Ebank - BIDV ra mắt hệ sinh thái số cho doanh nghiệp (BIDV Direct)</t>
  </si>
  <si>
    <t>10-11; 66-71</t>
  </si>
  <si>
    <t>Doanh nghiệp chưa nhận thức được giá trị kinh doanh của việc tham gia hệ sinh thái.</t>
  </si>
  <si>
    <t>Doanh nghiệp thể hiện sự hiểu biết một phần về giá trị của việc tham gia hệ sinh thái và vai trò của doanh nghiệp trong đó.</t>
  </si>
  <si>
    <t>Doanh nghiệp thể hiện sự hiểu biết đầy đủ về giá trị của việc tham gia hệ sinh thái và vai trò của doanh nghiệp trong đó.</t>
  </si>
  <si>
    <t>Doanh nghiệp thể hiện sự hiểu biết đầy đủ về giá trị và đã bắt đầu xác định chiến lược tham gia hệ sinh thái và vai trò của doanh nghiệp trong đó.</t>
  </si>
  <si>
    <t>Doanh nghiệp thể hiện sự hiểu biết đầy đủ về giá trị của việc tham gia hệ sinh thái và đã xác định chiến lược hệ sinh thái và vai trò của doanh nghiệp trong đó.</t>
  </si>
  <si>
    <t>2.2.2</t>
  </si>
  <si>
    <t>Thiết kế hệ sinh thái</t>
  </si>
  <si>
    <t>BIDV Direct: hệ sinh thái số gồm nhiều nền tảng liên kết (tài chính, thương mại, chuỗi cung ứng) thay cho cách quản lý rời rạc; kết nối API với MISA, Cổng dịch vụ công, VSDC.</t>
  </si>
  <si>
    <t>vnexpress.net, mục Ebank - BIDV ra mắt hệ sinh thái số cho doanh nghiệp (BIDV Direct); thitruongtaichinhtiente.vn, 'BIDV triển khai nhiệm vụ kinh doanh năm 2026' (Etax Mobile, MyShop Pro); vnexpress.net, 'BIDV đẩy mạnh chuyển đổi số' (chiến dịch BIDV Digi Up, 2020)</t>
  </si>
  <si>
    <t>web</t>
  </si>
  <si>
    <t>Doanh nghiệp chưa bắt đầu thiết kế hệ sinh thái.</t>
  </si>
  <si>
    <t>Doanh nghiệp đã bắt đầu thiết kế các hệ sinh thái để thúc đẩy chiến lược của mình.</t>
  </si>
  <si>
    <t>Doanh nghiệp đã thiết kế các hệ sinh thái để thúc đẩy chiến lược của mình nhằm gia tăng các dòng giá trị hiện có.</t>
  </si>
  <si>
    <t>Doanh nghiệp đã thiết kế các hệ sinh thái bền vững và mở rộng chiến lược của mình để tập trung vượt ra ngoài lĩnh vực hoạt động, mở ra các luồng giá trị mới.</t>
  </si>
  <si>
    <t>Doanh nghiệp đã thiết kế các hệ sinh thái bền vững và mở rộng chiến lược của mình bằng cách triển khai các năng lực liên ngành cho phép tạo ra các luồng giá trị mới.</t>
  </si>
  <si>
    <t>2.2.3</t>
  </si>
  <si>
    <t>Lựa chọn đối tác</t>
  </si>
  <si>
    <t>Quan hệ chiến lược BIDV - Hana Bank: Ủy ban Hợp tác chiến lược, Hợp đồng hỗ trợ kỹ thuật 2025-2028, 30 dự án hợp tác; liên doanh bảo hiểm, chứng khoán, thuê tài chính.</t>
  </si>
  <si>
    <t>66-71; 90-91; 112-113</t>
  </si>
  <si>
    <t>Doanh nghiệp chưa chọn đối tác như một phần của hệ sinh thái.</t>
  </si>
  <si>
    <t>Doanh nghiệp đã chọn các đối tác hệ sinh thái để hỗ trợ chiến lược của mình.</t>
  </si>
  <si>
    <t>Doanh nghiệp đã thiết lập quan hệ đối tác hệ sinh thái đang hỗ trợ chiến lược của mình.</t>
  </si>
  <si>
    <t>Doanh nghiệp đã thiết lập quan hệ đối tác hệ sinh thái tối ưu nâng cao chiến lược của mình ngoài ngành truyền thống (ngành lĩnh vực đang hoạt động của doanh nghiệp).</t>
  </si>
  <si>
    <t>Doanh nghiệp đã thiết lập quan hệ đối tác hệ sinh thái tối ưu và triển khai các năng lực liên ngành, tạo điều kiện cho các luồng giá trị mới.</t>
  </si>
  <si>
    <t>Bảo trợ tài chính</t>
  </si>
  <si>
    <t>2.3.1</t>
  </si>
  <si>
    <t>Ngân sách cho chuyển đổi số</t>
  </si>
  <si>
    <t>Hạ tầng và an ninh bảo mật được nâng cấp mạnh; tự triển khai 12/16 dự án CNTT trọng điểm, làm lợi hàng nghìn tỷ đồng; 2026 rà soát đầu tư hạ tầng đáp ứng chuẩn Zero Downtime.</t>
  </si>
  <si>
    <t>88-89; 98-99; 112-113</t>
  </si>
  <si>
    <t>Độ tin cậy: TB. Chưa công bố con số ngân sách đầu tư công nghệ.</t>
  </si>
  <si>
    <t>Doanh nghiệp chưa có ngân sách cho chuyển đổi số.</t>
  </si>
  <si>
    <t>Ngân sách sẵn có và linh hoạt để chuyển đổi số ở một số bộ phận, đơn vị chức năng.</t>
  </si>
  <si>
    <t>Ngân sách sẵn có và linh hoạt để chuyển đổi số trên hầu hết các bộ phận, đơn vị chức năng.</t>
  </si>
  <si>
    <t>Ngân sách luôn sẵn sàng và linh hoạt để chuyển đổi số trên toàn bộ doanh nghiệp.</t>
  </si>
  <si>
    <t>Ngân sách luôn sẵn sàng và linh hoạt để chuyển đổi số trên toàn bộ doanh nghiệp và các đối tác trong hệ sinh thái của doanh nghiệp.</t>
  </si>
  <si>
    <t>2.3.2</t>
  </si>
  <si>
    <t>Đo lường hiệu quả đầu tư</t>
  </si>
  <si>
    <t>KPI đánh giá các quyết định đầu tư chỉ được thiết lập theo sự vụ.</t>
  </si>
  <si>
    <t>Một số bộ phận, đơn vị chức năng có sẵn KPIs để đánh giá các quyết định đầu tư.</t>
  </si>
  <si>
    <t>Hầu hết bộ phận, đơn vị chức năng sử dụng KPIs để đánh giá các quyết định đầu tư.</t>
  </si>
  <si>
    <t>KPI để đánh giá các quyết định đầu tư được sử dụng trên toàn bộ doanh nghiệp.</t>
  </si>
  <si>
    <t>KPI để đánh giá các quyết định đầu tư được sử dụng trên toàn bộ doanh nghiệp và các đối tác trong hệ sinh thái của doanh nghiệp.</t>
  </si>
  <si>
    <t>2.3.3</t>
  </si>
  <si>
    <t>Đầu tư cải tiến liên tục</t>
  </si>
  <si>
    <t>Quyết định đầu tư chưa được cải thiện dựa trên kết quả trong quá khứ.</t>
  </si>
  <si>
    <t>Quyết định đầu tư được cải thiện tại một số bộ phận, đơn vị chức năng.</t>
  </si>
  <si>
    <t>Các quyết định đầu tư liên tục được cải thiện trên hầu hết các bộ phận, đơn vị chức năng.</t>
  </si>
  <si>
    <t>Các quyết định đầu tư liên tục được cải thiện trong toàn doanh nghiệp.</t>
  </si>
  <si>
    <t>Các quyết định đầu tư liên tục được cải thiện trong toàn doanh nghiệp và các đối tác trong hệ sinh thái của nó.</t>
  </si>
  <si>
    <t>Hiểu biết về thị trường</t>
  </si>
  <si>
    <t>2.4.1</t>
  </si>
  <si>
    <t>Đánh giá xu hướng ngành</t>
  </si>
  <si>
    <t>Định kỳ phân tích môi trường kinh doanh, kinh tế vĩ mô, pháp lý và mức độ cạnh tranh khi nhận diện rủi ro chiến lược.</t>
  </si>
  <si>
    <t>52-53</t>
  </si>
  <si>
    <t>Đánh giá xu hướng ngành chỉ được thực hiện theo sự vụ.</t>
  </si>
  <si>
    <t>Một số bộ phận, đơn vị chức năng đánh giá xu hướng ngành để thúc đẩy chiến lược số của họ.</t>
  </si>
  <si>
    <t>Hầu hết các bộ phận, đơn vị chức năng đánh giá xu hướng ngành để thúc đẩy chiến lược số của họ.</t>
  </si>
  <si>
    <t>Toàn bộ doanh nghiệp đánh giá xu hướng ngành để thúc đẩy chiến lược số của mình.</t>
  </si>
  <si>
    <t>Toàn bộ doanh nghiệp và các đối tác trong hệ sinh thái của doanh nghiệp đánh giá xu hướng ngành để thúc đẩy chiến lược số của họ.</t>
  </si>
  <si>
    <t>2.4.2</t>
  </si>
  <si>
    <t>Đánh giá nhu cầu của khách hàng</t>
  </si>
  <si>
    <t>Định kỳ phân tích thị trường và nhu cầu khách hàng; nhận diện thách thức cạnh tranh và thay đổi nhu cầu khách hàng, đề xuất điều chỉnh kịp thời.</t>
  </si>
  <si>
    <t>Phân tích nhu cầu của khách hàng chỉ được thực hiện theo sự vụ.</t>
  </si>
  <si>
    <t>Một số bộ phận, đơn vị chức năng phân tích nhu cầu của khách hàng để thúc đẩy chiến lược số của họ.</t>
  </si>
  <si>
    <t>Hầu hết các bộ phận, đơn vị chức năng phân tích nhu cầu của khách hàng để thúc đẩy chiến lược số của họ.</t>
  </si>
  <si>
    <t>Toàn bộ doanh nghiệp phân tích và dự đoán nhu cầu của khách hàng để thúc đẩy chiến lược số của mình.</t>
  </si>
  <si>
    <t>Toàn bộ doanh nghiệp và các đối tác trong hệ sinh thái của mình phân tích và dự đoán nhu cầu của khách hàng để thúc đẩy chiến lược số của họ.</t>
  </si>
  <si>
    <t>2.4.3</t>
  </si>
  <si>
    <t>Đánh giá mạng lưới giá trị</t>
  </si>
  <si>
    <t>Đánh giá kết cấu giá trị chỉ được thực hiện theo sự vụ.</t>
  </si>
  <si>
    <t>Một số bộ phận, đơn vị chức năng phân tích mạng lưới giá trị để thúc đẩy chiến lược số của họ.</t>
  </si>
  <si>
    <t>Hầu hết các bộ phận, đơn vị chức năng phân tích mạng lưới giá trị để thúc đẩy chiến lược số của họ.</t>
  </si>
  <si>
    <t>Toàn bộ doanh nghiệp phân tích và dự đoán mạng lưới giá trị để thúc đẩy chiến lược số của mình.</t>
  </si>
  <si>
    <t>Toàn bộ doanh nghiệp và các đối tác trong hệ sinh thái của doanh nghiệp phân tích và dự đoán mạng lưới giá trị để thúc đẩy chiến lược số của họ.</t>
  </si>
  <si>
    <t>Quản lý danh mục sản phẩm, dịch vụ số</t>
  </si>
  <si>
    <t>2.5.1</t>
  </si>
  <si>
    <t>Cân đối danh mục sản phẩm và dịch vụ</t>
  </si>
  <si>
    <t>Chuyển dịch cơ cấu tín dụng; dư nợ bán lẻ, FDI, xanh (82.300 tỷ đồng dư nợ xanh); tái cơ cấu danh mục tài sản nợ năm 2026.</t>
  </si>
  <si>
    <t>88-91; 100-101</t>
  </si>
  <si>
    <t>Cân bằng danh mục đầu tư chỉ được thực hiện theo sự vụ.</t>
  </si>
  <si>
    <t>Một số bộ phận, đơn vị chức năng có danh mục sản phẩm và dịch vụ số phù hợp một phần với chiến lược của doanh nghiệp.</t>
  </si>
  <si>
    <t>Hầu hết các bộ phận, đơn vị chức năng đều có danh mục sản phẩm và dịch vụ số cân bằng, phù hợp nhất với chiến lược của doanh nghiệp.</t>
  </si>
  <si>
    <t>Toàn bộ doanh nghiệp có một danh mục sản phẩm và dịch vụ số cân bằng phù hợp nhất với chiến lược của mình.</t>
  </si>
  <si>
    <t>Toàn bộ doanh nghiệp và các đối tác trong hệ sinh thái của doanh nghiệp có một danh mục sản phẩm và dịch vụ số cân bằng, phù hợp nhất với chiến lược chung của mình.</t>
  </si>
  <si>
    <t>2.5.2</t>
  </si>
  <si>
    <t>Lộ trình danh mục sản phẩm và dịch vụ</t>
  </si>
  <si>
    <t>Hoàn thành chiến lược 2021-2025; trình NHNN Chiến lược đến 2030, tầm nhìn 2045 và các chiến lược hợp phần; chỉ tiêu 2026 cụ thể.</t>
  </si>
  <si>
    <t>44-47; 90-91; 100-101</t>
  </si>
  <si>
    <t>Lộ trình danh mục đầu tư chỉ được thực hiện theo sự vụ.</t>
  </si>
  <si>
    <t>Một số bộ phận, đơn vị chức năng có lộ trình danh mục sản phẩm và dịch vụ số phù hợp một phần với chiến lược của doanh nghiệp.</t>
  </si>
  <si>
    <t>Hầu hết các bộ phận, đơn vị chức năng đều có lộ trình danh mục sản phẩm và dịch vụ số phù hợp nhất với chiến lược của doanh nghiệp.</t>
  </si>
  <si>
    <t>Toàn bộ doanh nghiệp có lộ trình danh mục sản phẩm và dịch vụ số phù hợp nhất với chiến lược của mình.</t>
  </si>
  <si>
    <t>Doanh nghiệp và các đối tác trong hệ sinh thái của doanh nghiệp có một lộ trình danh mục các sản phẩm và dịch vụ số phù hợp nhất với chiến lược chung của mình.</t>
  </si>
  <si>
    <t>2.5.3</t>
  </si>
  <si>
    <t>Đổi mới danh mục sản phẩm và dịch vụ</t>
  </si>
  <si>
    <t>Sao Khuê 2025: 7 giải pháp (ứng lương tự động, định danh điện tử, bảo lãnh điện tử, ký số tập trung, i-Translation ISO 20022, B.One, Gen AI); SmartBanking X; BIDV Direct; AskBee.</t>
  </si>
  <si>
    <t>12-13; 88-89</t>
  </si>
  <si>
    <t>Đổi mới danh mục đầu tư chỉ được thực hiện theo sự vụ.</t>
  </si>
  <si>
    <t>Một số bộ phận, đơn vị chức năng có quy trình đổi mới danh mục sản phẩm và dịch vụ phù hợp một phần với chiến lược của doanh nghiệp.</t>
  </si>
  <si>
    <t>Hầu hết các bộ phận, đơn vị chức năng đều có quy trình đổi mới danh mục sản phẩm và dịch vụ phù hợp với chiến lược của doanh nghiệp.</t>
  </si>
  <si>
    <t>Toàn bộ doanh nghiệp có một quy trình đổi mới danh mục sản phẩm và dịch vụ phù hợp nhất với chiến lược của mình.</t>
  </si>
  <si>
    <t>Toàn bộ doanh nghiệp và các đối tác trong hệ sinh thái của doanh nghiệp có một quy trình đổi mới danh mục sản phẩm và dịch vụ phù hợp nhất với chiến lược chung của mình.</t>
  </si>
  <si>
    <t>Quản lý chiến lược</t>
  </si>
  <si>
    <t>2.6.1</t>
  </si>
  <si>
    <t>Chiến lược phù hợp với tầm nhìn</t>
  </si>
  <si>
    <t>Chiến lược đến 2030, tầm nhìn 2045: Tập đoàn tài chính - ngân hàng LỚN - MẠNH - XANH, Top 100 ngân hàng mạnh nhất châu Á (2030); mục tiêu gắn đổi mới sáng tạo và chuyển đổi số.</t>
  </si>
  <si>
    <t>22-23; 44-47; 90-91</t>
  </si>
  <si>
    <t>Doanh nghiệp chưa có tầm nhìn rõ ràng.</t>
  </si>
  <si>
    <t>Doanh nghiệp có một tầm nhìn và đang bắt đầu phát triển một chiến lược phù hợp.</t>
  </si>
  <si>
    <t>Doanh nghiệp có một chiến lược rõ ràng hầu hết phù hợp với tầm nhìn.</t>
  </si>
  <si>
    <t>Doanh nghiệp có một chiến lược rõ ràng hoàn toàn phù hợp với tầm nhìn.</t>
  </si>
  <si>
    <t>Doanh nghiệp và các đối tác trong hệ sinh thái của doanh nghiệp có một chiến lược rõ ràng hoàn toàn phù hợp với tầm nhìn.</t>
  </si>
  <si>
    <t>2.6.2</t>
  </si>
  <si>
    <t>Đồng bộ giữa các nhóm kinh doanh/nghiệp vụ và kỹ thuật</t>
  </si>
  <si>
    <t>Chuyển đổi bán lẻ toàn diện theo tư vấn quốc tế; xây dựng mô hình tập trung hóa chức năng quản lý rủi ro; HĐQT - Ban Điều hành - UBCNTT - Trung tâm Quản trị dữ liệu phối hợp.</t>
  </si>
  <si>
    <t>98-99; 112-113</t>
  </si>
  <si>
    <t>Hoạt động phối hợp xây dựng chiến lược doanh nghiệp giữa bộ phận (kinh doanh, kỹ thuật, khách hàng...) thuật chỉ được thực hiện theo sự vụ.</t>
  </si>
  <si>
    <t>Chiến lược doanh nghiệp đang bắt đầu được đồng phát triển giữa các nhóm kinh doanh/ nghiệp vụ và công nghệ.</t>
  </si>
  <si>
    <t>Chiến lược doanh nghiệp được đồng phát triển giữa các nhóm kinh doanh/nghiệp vụ và công nghệ trên các bộ phận, đơn vị chức năng cốt lõi.</t>
  </si>
  <si>
    <t>Chiến lược doanh nghiệp liên tục được tối ưu hóa giữa các nhóm nhóm kinh doanh/ nghiệp vụ và công nghệ trong toàn doanh nghiệp.</t>
  </si>
  <si>
    <t>Chiến lược doanh nghiệp liên tục được tối ưu hóa giữa các nhóm kinh doanh/ nghiệp vụ và công nghệ trong toàn doanh nghiệp và các đối tác trong hệ sinh thái của doanh nghiệp.</t>
  </si>
  <si>
    <t>2.6.3</t>
  </si>
  <si>
    <t>Đo lường các chỉ số</t>
  </si>
  <si>
    <t>Kết quả kinh doanh đối chiếu kế hoạch ĐHĐCĐ (doanh thu 110%, LNTT 111%, CIR 32,7%, nợ xấu 1,26%); chỉ số chuyển đổi số: 12/16 dự án CNTT tự làm, hiệu năng core tăng hơn 5 lần.</t>
  </si>
  <si>
    <t>88-89; 96-99</t>
  </si>
  <si>
    <t>Đo lường hiệu quả cho các mục tiêu chiến lược chỉ được thực hiện theo sự vụ.</t>
  </si>
  <si>
    <t>Một số bộ phận, đơn vị chức năng thực hiện các biện pháp đo lường kết quả các mục tiêu chiến lược.</t>
  </si>
  <si>
    <t>Hầu hết các bộ phận, đơn vị chức năng thực hiện toàn diện các biện pháp để đo lường kết quả các mục tiêu chiến lược.</t>
  </si>
  <si>
    <t>Toàn bộ các bộ phận, đơn vị chức năng thực hiện toàn diện các biện pháp phù hợp để đo lường kết quả các mục tiêu chiến lược.</t>
  </si>
  <si>
    <t>Toàn bộ các bộ phận, đơn vị chức năng và đối tác trong hệ sinh thái thực hiện toàn diện các biện pháp phù hợp để đo lường kết quả các mục tiêu chiến lược.</t>
  </si>
  <si>
    <t>2.6.4</t>
  </si>
  <si>
    <t>Quản lý rủi ro</t>
  </si>
  <si>
    <t>Quản trị rủi ro 3 tuyến bảo vệ cho các rủi ro trọng yếu (tín dụng, thị trường, thanh khoản, hoạt động, CNTT, chiến lược, danh tiếng, AML); Basel II sớm, lộ trình Basel III; chương trình nhận diện rủi ro toàn hàng 2025-2028.</t>
  </si>
  <si>
    <t>46-57; 98-99</t>
  </si>
  <si>
    <t>Doanh nghiệp chưa có chiến lược quản lý rủi ro rõ ràng.</t>
  </si>
  <si>
    <t>Một chiến lược quản lý rủi ro đang bắt đầu được phát triển ở một số bộ phận, đơn vị chức năng.</t>
  </si>
  <si>
    <t>Một chiến lược quản lý rủi ro được áp dụng trên hầu hết các bộ phận, đơn vị chức năng.</t>
  </si>
  <si>
    <t>Một chiến lược quản lý rủi ro được thông qua bởi doanh nghiệp.</t>
  </si>
  <si>
    <t>Một chiến lược quản lý rủi ro chung được thông qua bởi doanh nghiệp và các đối tác hệ sinh thái của doanh nghiệp.</t>
  </si>
  <si>
    <t>2.6.5</t>
  </si>
  <si>
    <t>Lộ trình chuyển đổi</t>
  </si>
  <si>
    <t>Lộ trình 2026-2030 'Lớn - Mạnh - Xanh'; phương châm 2026 'Kỷ cương - Chất lượng - Hiệu quả - Chuyển đổi toàn diện'; Quy chế quản trị chiến lược số 1334/QĐ-BIDV.</t>
  </si>
  <si>
    <t>44-47; 100-103; 112-113</t>
  </si>
  <si>
    <t>Doanh nghiệp chưa có lộ trình chuyển đổi rõ ràng.</t>
  </si>
  <si>
    <t>Một số bộ phận, đơn vị chức năng đang thực hiện lộ trình chuyển đổi</t>
  </si>
  <si>
    <t>Hầu hết các bộ phận, đơn vị chức năng đang thực hiện một lộ trình chuyển đổi nhất quán.</t>
  </si>
  <si>
    <t>Toàn bộ doanh nghiệp đang thực hiện một lộ trình chuyển đổi nhất quán.</t>
  </si>
  <si>
    <t>Toàn bộ doanh nghiệp và các đối tác trong hệ sinh thái của doanh nghiệp đang thực hiện một lộ trình chuyển đổi nhất quán.</t>
  </si>
  <si>
    <t>2.6.6</t>
  </si>
  <si>
    <t>Áp dụng chiến lược chuyển đổi số</t>
  </si>
  <si>
    <t>Phong trào học tập 'kiến thức số', 'văn hóa số' toàn hệ thống (2026); đào tạo ứng dụng AI cho cán bộ (KH 5387/KH-BIDV, 17/07/2025); chiến dịch BIDV Digi Up 189 chi nhánh (2020).</t>
  </si>
  <si>
    <t>BIDV, Báo cáo thường niên 2025 (bidv.com.vn - Quan hệ nhà đầu tư); vnexpress.net, 'BIDV đẩy mạnh chuyển đổi số' (chiến dịch BIDV Digi Up, 2020)</t>
  </si>
  <si>
    <t>76-77; 102-103</t>
  </si>
  <si>
    <t>Truyền thông về chiến lược chuyển đổi số chưa được hiểu rõ.</t>
  </si>
  <si>
    <t>Chiến lược số được áp dụng ở một số bộ phận, đơn vị chức năng.</t>
  </si>
  <si>
    <t>Chiến lược số được áp dụng đầy đủ trên hầu hết các bộ phận, đơn vị chức năng.</t>
  </si>
  <si>
    <t>Chiến lược số được áp dụng đầy đủ trong toàn doanh nghiệp.</t>
  </si>
  <si>
    <t>Chiến lược số được chấp nhận hoàn toàn trong toàn doanh nghiệp và các đối tác trong hệ sinh thái của doanh nghiệp.</t>
  </si>
  <si>
    <t>2.6.7</t>
  </si>
  <si>
    <t>Quản trị chuyển đổi</t>
  </si>
  <si>
    <t>UBCNTT trực thuộc HĐQT (họp theo quý) chỉ đạo chiến lược/kế hoạch CNTT và chuyển đổi số; Quy chế quản trị chiến lược số; Trung tâm Quản trị dữ liệu với COE AI; Ban Quản lý &amp; Phát triển Core Banking.</t>
  </si>
  <si>
    <t>BIDV, Báo cáo thường niên 2025 (bidv.com.vn - Quan hệ nhà đầu tư); FIS Global, BIDV Client Story (core banking Profile); The Asian Banker, 'Best Core Banking Technology Implementation in Vietnam 2024' (bidv.com.vn)</t>
  </si>
  <si>
    <t>112-113</t>
  </si>
  <si>
    <t>Quản trị chuyển đổi chỉ được thực hiện theo sự vụ.</t>
  </si>
  <si>
    <t>Một số bộ phận, đơn vị chức năng đã áp dụng mô hình quản trị chuyển đổi số chung.</t>
  </si>
  <si>
    <t>Hầu hết các bộ phận, đơn vị chức năng đã áp dụng một mô hình quản trị chuyển đổi số chung.</t>
  </si>
  <si>
    <t>Toàn bộ doanh nghiệp đã áp dụng một mô hình quản trị chuyển đổi số phổ biến và mạnh mẽ.</t>
  </si>
  <si>
    <t>Toàn bộ doanh nghiệp và các đối tác trong hệ sinh thái của doanh nghiệp đã áp dụng mô hình quản trị chuyển đổi số nhất quán và mạnh mẽ.</t>
  </si>
  <si>
    <t>2.6.8</t>
  </si>
  <si>
    <t>Nhận diện và áp dụng các bài học thành công</t>
  </si>
  <si>
    <t>Ngân hàng đầu tiên áp dụng Delta migration cho core banking; đầu tiên triển khai SWIFT theo ISO 20022; chuyển đổi bán lẻ theo chuẩn tư vấn quốc tế; hợp tác Hana Bank 30 dự án.</t>
  </si>
  <si>
    <t>90-91; 98-99</t>
  </si>
  <si>
    <t>Việc áp dụng thông lệ tốt nhất chỉ được thực hiện theo sự vụ.</t>
  </si>
  <si>
    <t>Một số bộ phận, đơn vị chức năng xác định và khuyến khích áp dụng các thông lệ tốt nhất (best practices).</t>
  </si>
  <si>
    <t>Hầu hết các bộ phận, đơn vị chức năng tích cực xác định và khuyến khích áp dụng các thông lệ tốt nhất.</t>
  </si>
  <si>
    <t>Toàn bộ doanh nghiệp tích cực xác định và khuyến khích áp dụng các thông lệ tốt nhất.</t>
  </si>
  <si>
    <t>Toàn bộ doanh nghiệp và các đối tác trong hệ sinh thái của doanh nghiệp tích cực xác định và khuyến khích áp dụng các thông lệ tốt nhất.</t>
  </si>
  <si>
    <t>Quản trị công nghệ</t>
  </si>
  <si>
    <t>3.1.1</t>
  </si>
  <si>
    <t>Khung quản trị công nghệ</t>
  </si>
  <si>
    <t>UBCNTT; kế hoạch quản lý CNTT tập trung; rà soát đầu tư hạ tầng đạt chuẩn Zero Downtime; Kiến trúc CNTT toàn hàng; quản lý rủi ro CNTT theo 3 tuyến.</t>
  </si>
  <si>
    <t>50-51; 112-113</t>
  </si>
  <si>
    <t>Một khung quản trị công nghệ chưa được áp dụng chính thức.</t>
  </si>
  <si>
    <t>Một khung quản trị công nghệ đang được áp dụng ở một số bộ phận, đơn vị chức năng.</t>
  </si>
  <si>
    <t>Một khung quản trị công nghệ đang được áp dụng trên hầu hết các bộ phận, đơn vị chức năng.</t>
  </si>
  <si>
    <t>Một khung quản trị công nghệ đang được áp dụng trong toàn doanh nghiệp.</t>
  </si>
  <si>
    <t>Một khung quản trị công nghệ đang được áp dụng trên toàn doanh nghiệp và các đối tác trong hệ sinh thái của doanh nghiệp.</t>
  </si>
  <si>
    <t>3.1.2</t>
  </si>
  <si>
    <t>Tiêu chuẩn ngành</t>
  </si>
  <si>
    <t>Tiên phong chuẩn ISO 20022 (i-Translation đạt Sao Khuê 2025); Basel II và lộ trình Basel III; IFRS 9; Core Banking đạt giải The Asian Banker 2024.</t>
  </si>
  <si>
    <t>12-13; 46-49</t>
  </si>
  <si>
    <t>Độ tin cậy: Cao. Chưa thấy công bố chứng chỉ ISO 27001.</t>
  </si>
  <si>
    <t>Việc sử dụng các tiêu chuẩn ngành được thực hiện theo sự vụ và chưa tính đến lợi ích kinh doanh.</t>
  </si>
  <si>
    <t>Các tiêu chuẩn ngành có liên quan được sử dụng một phần để tối đa hóa lợi ích kinh doanh.</t>
  </si>
  <si>
    <t>Các tiêu chuẩn ngành có liên quan được tận dụng tối đa để tối đa hóa lợi ích kinh doanh.</t>
  </si>
  <si>
    <t>Doanh nghiệp sử dụng đầy đủ và đóng góp vào các tiêu chuẩn ngành có liên quan.</t>
  </si>
  <si>
    <t>Doanh nghiệp và các đối tác trong hệ sinh thái của doanh nghiệp tận dụng triệt để và đóng góp vào các tiêu chuẩn ngành có liên quan .</t>
  </si>
  <si>
    <t>3.1.3</t>
  </si>
  <si>
    <t>Quản lý môi trường</t>
  </si>
  <si>
    <t>Thúc đẩy văn phòng không giấy tờ, số hóa quy trình nhằm giảm tiêu thụ giấy và năng lượng; tài trợ trồng 160.000 cây xanh (2024-2025).</t>
  </si>
  <si>
    <t>98-99</t>
  </si>
  <si>
    <t>Độ tin cậy: TB. Chưa có số liệu mức giảm.</t>
  </si>
  <si>
    <t>Doanh nghiệp ít hoặc chưa xem xét đến tác động môi trường của các hoạt động công nghệ.</t>
  </si>
  <si>
    <t>Một số bộ phận, đơn vị chức năng xem xét tác động đến môi trường từ các hoạt động công nghệ của họ.</t>
  </si>
  <si>
    <t>Hầu hết các bộ phận, đơn vị chức năng quản lý tác động đến môi trường của các hoạt động công nghệ của họ.</t>
  </si>
  <si>
    <t>Doanh nghiệp chủ động quản lý tác động đến môi trường của các hoạt động công nghệ của mình.</t>
  </si>
  <si>
    <t>Doanh nghiệp và các đối tác trong hệ sinh thái của mình chủ động quản lý tác động đối với môi trường của các hoạt động công nghệ của họ.</t>
  </si>
  <si>
    <t>3.1.4</t>
  </si>
  <si>
    <t>Quản lý năng lượng</t>
  </si>
  <si>
    <t>Định tính: số hóa quy trình giảm tiêu thụ năng lượng; kiểm kê phát thải phạm vi 1-2 được công bố trong Báo cáo PTBV riêng.</t>
  </si>
  <si>
    <t>Độ tin cậy: Thấp. Cần đọc Báo cáo PTBV riêng của BIDV để bổ sung số liệu.</t>
  </si>
  <si>
    <t>Việc xem xét quản lý năng lượng được thực hiện theo sự vụ.</t>
  </si>
  <si>
    <t>Một số bộ phận, đơn vị chức năng quản lý tác động kinh tế của tiêu thụ năng lượng.</t>
  </si>
  <si>
    <t>Hầu hết các bộ phận, đơn vị chức năng quản lý tác động kinh tế của việc tiêu thụ năng lượng.</t>
  </si>
  <si>
    <t>Doanh nghiệp chủ động quản lý tác động kinh tế của việc tiêu thụ năng lượng.</t>
  </si>
  <si>
    <t>Doanh nghiệp và các đối tác hệ sinh thái của doanh nghiệp chủ động quản lý tác động kinh tế của việc tiêu thụ năng lượng.</t>
  </si>
  <si>
    <t>3.1.5</t>
  </si>
  <si>
    <t>Công nghệ mới</t>
  </si>
  <si>
    <t>Kế hoạch ứng dụng AI tổng thể giai đoạn 2025-2031 với danh mục sáng kiến theo từng Khối/Ban; Chatbot AI AskBee; Gen AI hỗ trợ tìm kiếm SPDV (Sao Khuê); Chatbot Gen AI thế hệ mới dự kiến 2026; trợ lý thoại, tư vấn video.</t>
  </si>
  <si>
    <t>12-13; 84-85; 88-89; 112-113</t>
  </si>
  <si>
    <t>Doanh nghiệp ít hoặc chưa quan tâm đến các công nghệ mới.</t>
  </si>
  <si>
    <t>Một số bộ phận, đơn vị chức năng đã tích cực áp dụng các công nghệ mới cho hoạt động kinh doanh của họ.</t>
  </si>
  <si>
    <t>Doanh nghiệp đã tích cực áp dụng các công nghệ mới cho hoạt động kinh doanh.</t>
  </si>
  <si>
    <t>Doanh nghiệp đang chủ động tìm kiếm (scan) các công nghệ mới và hoạt động kinh doanh của họ.</t>
  </si>
  <si>
    <t>Doanh nghiệp và các đối tác trong hệ sinh thái của doanh nghiệp đang chủ động tìm kiếm các công nghệ mới và hoạt động kinh doanh của họ.</t>
  </si>
  <si>
    <t>Kiến trúc công nghệ và ứng dụng</t>
  </si>
  <si>
    <t>3.2.1</t>
  </si>
  <si>
    <t>Chiến lược/lộ trình công nghệ</t>
  </si>
  <si>
    <t>Cập nhật Chiến lược CNTT; kế hoạch AI 2025-2031; quản lý CNTT tập trung; mô hình Cloud First - Multi Hybrid Cloud (Kiến trúc CNTT 2023).</t>
  </si>
  <si>
    <t>102-103; 112-113</t>
  </si>
  <si>
    <t>Lộ trình công nghệ chưa phù hợp với chiến lược kinh doanh.</t>
  </si>
  <si>
    <t>Lộ trình công nghệ phù hợp một phần với chiến lược kinh doanh.</t>
  </si>
  <si>
    <t>Lộ trình công nghệ phù hợp với chiến lược kinh doanh của doanh nghiệp.</t>
  </si>
  <si>
    <t>Lộ trình công nghệ liên tục được tối ưu hóa để phù hợp và thúc đẩy chiến lược kinh doanh trong toàn doanh nghiệp.</t>
  </si>
  <si>
    <t>Lộ trình công nghệ liên tục được tối ưu hóa để phù hợp và thúc đẩy chiến lược kinh doanh trong toàn doanh nghiệp và các đối tác trong hệ sinh thái của doanh nghiệp.</t>
  </si>
  <si>
    <t>3.2.2</t>
  </si>
  <si>
    <t>Kiến trúc Microservices &amp; kiến trúc theo hướng dịch vụ (SOA - Service-Oriented Architecture)</t>
  </si>
  <si>
    <t>SmartBanking X kiến trúc Plug &amp; Play; Core Profile kiến trúc composable hướng API.</t>
  </si>
  <si>
    <t>thitruongtaichinhtiente.vn, 'BIDV SmartBanking phiên bản X - dấu ấn tiên phong cùng loạt tính năng mới' (07/2025); FIS Global, BIDV Client Story (core banking Profile); The Asian Banker, 'Best Core Banking Technology Implementation in Vietnam 2024' (bidv.com.vn)</t>
  </si>
  <si>
    <t>Kiến trúc hướng dịch vụ được thực hiện theo sự vụ.</t>
  </si>
  <si>
    <t>Microservices đã được triển khai trong một số ứng dụng.</t>
  </si>
  <si>
    <t>Microservices được sử dụng trong hầu hết các ứng dụng và lập trình hướng sự kiện đang được triển khai.</t>
  </si>
  <si>
    <t>Microservices và lập trình hướng sự kiện được áp dụng đầy đủ trong bối cảnh ứng dụng của doanh nghiệp.</t>
  </si>
  <si>
    <t>Microservices và lập trình hướng sự kiện được áp dụng đầy đủ trong bối cảnh ứng dụng của doanh nghiệp và các đối tác trong hệ sinh thái của doanh nghiệp.</t>
  </si>
  <si>
    <t>3.2.3</t>
  </si>
  <si>
    <t>Mã nguồn mở</t>
  </si>
  <si>
    <t>Việc sử dụng nguồn mở chỉ được thực hiện theo sự vụ.</t>
  </si>
  <si>
    <t>Các giải pháp mã nguồn mở có liên quan được sử dụng một phần để tối đa hóa lợi ích kinh doanh.</t>
  </si>
  <si>
    <t>Các giải pháp mã nguồn mở có liên quan được sử dụng đầy đủ để tối đa hóa lợi ích kinh doanh.</t>
  </si>
  <si>
    <t>Doanh nghiệp sử dụng đầy đủ và đóng góp cho các giải pháp mã nguồn mở có liên quan.</t>
  </si>
  <si>
    <t>Doanh nghiệp và các đối tác hệ sinh thái của doanh nghiệp sử dụng đầy đủ và đóng góp cho các giải pháp mã nguồn mở có liên quan.</t>
  </si>
  <si>
    <t>3.2.4</t>
  </si>
  <si>
    <t>Khả năng cấu hình ứng dụng</t>
  </si>
  <si>
    <t>Các ứng dụng chủ yếu được tùy chỉnh.</t>
  </si>
  <si>
    <t>Một số ứng dụng được cấu hình linh hoạt, đáng tin cậy và nhanh chóng bởi doanh nghiệp.</t>
  </si>
  <si>
    <t>Hầu hết các ứng dụng được cấu hình linh hoạt, đáng tin cậy và nhanh chóng bởi doanh nghiệp.</t>
  </si>
  <si>
    <t>Tất cả các ứng dụng được cấu hình linh hoạt, đáng tin cậy và nhanh chóng bởi doanh nghiệp.</t>
  </si>
  <si>
    <t>Tất cả các ứng dụng đều được cấu hình linh hoạt, đáng tin cậy và nhanh chóng bởi doanh nghiệp và các đối tác trong hệ sinh thái của doanh nghiệp.</t>
  </si>
  <si>
    <t>3.2.5</t>
  </si>
  <si>
    <t>Nâng cao năng lực sử dụng điện toán đám mây (Cloud)</t>
  </si>
  <si>
    <t>Kiến trúc CNTT toàn hàng theo mô hình Cloud First - Multi Hybrid Cloud (2023).</t>
  </si>
  <si>
    <t>sggp.org.vn, 'BIDV nỗ lực làm chủ công nghệ để bứt phá tương lai số' (2025)</t>
  </si>
  <si>
    <t>Độ tin cậy: TB. Chưa có số liệu mức độ chuyển lên cloud.</t>
  </si>
  <si>
    <t>Việc áp dụng các năng lực sử dụng điện toán đám mây chỉ được thực hiện theo sự vụ.</t>
  </si>
  <si>
    <t>Một số bộ phận, đơn vị chức năng đã bắt đầu xác định một cách tiếp cận chung để phát triển năng lực sử dụng điện toán đám mây của họ.</t>
  </si>
  <si>
    <t>Hầu hết các bộ phận, đơn vị chức năng đã bắt đầu xác định một cách tiếp cận chung để phát triển năng lực sử dụng điện toán đám mây của họ.</t>
  </si>
  <si>
    <t>Doanh nghiệp có một cách tiếp cận chung được cân nhắc kỹ lưỡng để phát triển năng lực sử dụng điện toán đám mây của mình nhằm tối đa hóa giá trị kinh doanh.</t>
  </si>
  <si>
    <t>Doanh nghiệp và các đối tác trong hệ sinh thái của doanh nghiệp có một cách tiếp cận chung được cân nhắc kỹ lưỡng để phát triển năng lực sử dụng điện toán đám mây của họ nhằm tối đa hóa giá trị kinh doanh.</t>
  </si>
  <si>
    <t>3.2.6</t>
  </si>
  <si>
    <t>Áp dụng API</t>
  </si>
  <si>
    <t>Core banking hướng API; kết nối Cổng dịch vụ công quốc gia, Etax Mobile, VSDC; MyShop Pro; giải thưởng ngân hàng mở/API.</t>
  </si>
  <si>
    <t>FIS Global, BIDV Client Story (core banking Profile); The Asian Banker, 'Best Core Banking Technology Implementation in Vietnam 2024' (bidv.com.vn); thitruongtaichinhtiente.vn, 'BIDV triển khai nhiệm vụ kinh doanh năm 2026' (Etax Mobile, MyShop Pro); thitruongtaichinhtiente.vn, 'BIDV tiên phong với chiến lược kép: số hóa - xanh hóa' (10/2025)</t>
  </si>
  <si>
    <t>Độ tin cậy: TB. Chưa có số API công bố nên không chấm 5.</t>
  </si>
  <si>
    <t>Việc sử dụng API chỉ được thực hiện theo sự vụ.</t>
  </si>
  <si>
    <t>Một số bộ phận, đơn vị chức năng đã bắt đầu hỗ trợ API.</t>
  </si>
  <si>
    <t>Doanh nghiệp bắt buộc sử dụng API cho tất cả các ứng dụng mới và đang bắt đầu áp dụng các thông số kỹ thuật mở.</t>
  </si>
  <si>
    <t>Doanh nghiệp bắt buộc sử dụng API dựa trên thông số kỹ thuật mở cho tất cả các ứng dụng và đã đạt được sự áp dụng rộng rãi.</t>
  </si>
  <si>
    <t>Doanh nghiệp và các đối tác trong hệ sinh thái của doanh nghiệp bắt buộc sử dụng API dựa trên các thông số kỹ thuật mở cho tất cả các ứng dụng và đã đạt được sự áp dụng rộng rãi.</t>
  </si>
  <si>
    <t>3.2.7</t>
  </si>
  <si>
    <t>Kiến trúc công nghệ</t>
  </si>
  <si>
    <t>Tự làm chủ và go-live Core Banking Profile cho Chi nhánh Yangon trong 6 tháng (nhanh hơn 7,5 lần, tiết kiệm 63% chi phí); hệ thống vận hành thông suốt khi giao dịch tăng 1,5 lần, hiệu năng tối đa tăng hơn 5 lần.</t>
  </si>
  <si>
    <t>Kiến trúc công nghệ hỗ trợ các ứng dụng được thực hiện theo sự vụ.</t>
  </si>
  <si>
    <t>Kiến trúc công nghệ hỗ trợ triển khai kịp thời một số ứng dụng.</t>
  </si>
  <si>
    <t>Kiến trúc công nghệ hỗ trợ triển khai kịp thời hầu hết các ứng dụng.</t>
  </si>
  <si>
    <t>Kiến trúc công nghệ hỗ trợ liền mạch việc triển khai kịp thời các ứng dụng trong toàn doanh nghiệp.</t>
  </si>
  <si>
    <t>Kiến trúc công nghệ hỗ trợ liền mạch việc triển khai kịp thời các ứng dụng trong toàn doanh nghiệp và các đối tác trong hệ sinh thái của doanh nghiệp.</t>
  </si>
  <si>
    <t>An toàn thông tin mạng</t>
  </si>
  <si>
    <t>3.3.1</t>
  </si>
  <si>
    <t>Bảo đảm an toàn hệ thống thông tin theo cấp độ</t>
  </si>
  <si>
    <t>Phê duyệt 80% Hồ sơ đề xuất cấp độ cho các hệ thống thông tin.</t>
  </si>
  <si>
    <t>Phê duyệt 100% Hồ sơ đề xuất cấp độ cho các hệ thống thông tin và triển khai đầy đủ phương án bảo đảm an toàn hệ thống thông tin cho 50% các HTTT.</t>
  </si>
  <si>
    <t>100% hệ thống thông tin được phê duyệt và triển khai đầy đủ phương án bảo đảm an toàn hệ thống thông tin theo cấp độ .</t>
  </si>
  <si>
    <t>- Mức độ 3 và định kỳ 100% các HTTT được kiểm tra, đánh giá định kỳ theo quy định của pháp luật.</t>
  </si>
  <si>
    <t>- Mức độ 4 và triển khai giám sát cho 100% các HTTT được giám sát, bảo vệ chuyên nghiệp.</t>
  </si>
  <si>
    <t>3.3.2</t>
  </si>
  <si>
    <t>Phát hiện và giảm thiểu xâm nhập</t>
  </si>
  <si>
    <t>Việc phát hiện xâm nhập chỉ được thực hiện theo sự vụ.</t>
  </si>
  <si>
    <t>Doanh nghiệp phát hiện và giảm thiểu xâm nhập trong một số thành phần của các hệ thống.</t>
  </si>
  <si>
    <t>Doanh nghiệp phát hiện và giảm thiểu xâm nhập trong hầu hết các thành phần của các hệ thống.</t>
  </si>
  <si>
    <t>Doanh nghiệp phát hiện và giảm thiểu xâm nhập trong thời gian gần thực.</t>
  </si>
  <si>
    <t>Doanh nghiệp và các đối tác trong hệ sinh thái của doanh nghiệp phát hiện và giảm thiểu xâm nhập trong thời gian gần thực.</t>
  </si>
  <si>
    <t>3.3.3</t>
  </si>
  <si>
    <t>Bảo đảm an toàn, an ninh mạng</t>
  </si>
  <si>
    <t>Rủi ro CNTT là rủi ro trọng yếu, quản lý theo 3 tuyến; thường xuyên cập nhật phần mềm, thiết bị, bảo mật kỹ thuật, khắc phục nhanh sự cố; BIDV Direct yêu cầu sinh trắc học.</t>
  </si>
  <si>
    <t>50-51; 88-89</t>
  </si>
  <si>
    <t>Độ tin cậy: TB. Chưa có số liệu cảnh báo/kiểm thử an ninh như MB.</t>
  </si>
  <si>
    <t>Bảo vệ hệ thống thông tin được thực hiện theo sự vụ.</t>
  </si>
  <si>
    <t>Một số bộ phận, đơn vị chức năng có năng lực bảo đảm an toàn, an ninh mạng hiệu quả.</t>
  </si>
  <si>
    <t>Doanh nghiệp có năng lực bảo đảm an toàn, an ninh mạng hiệu quả.</t>
  </si>
  <si>
    <t>Doanh nghiệp có năng lực bảo đảm an toàn, an ninh mạng hiệu quả và liên tục được cải thiện.</t>
  </si>
  <si>
    <t>Doanh nghiệp và các đối tác trong hệ sinh thái của doanh nghiệp có năng lực bảo đảm an toàn, an ninh mạng hiệu quả và liên tục được cải thiện.</t>
  </si>
  <si>
    <t>3.3.4</t>
  </si>
  <si>
    <t>Bảo mật vật lý</t>
  </si>
  <si>
    <t>Việc sử dụng các thành phần công nghệ để bảo mật vật lý được thực hiện theo sự vụ.</t>
  </si>
  <si>
    <t>Một số yếu tố công nghệ được sử dụng để đáp ứng nhu cầu bảo mật vật lý của doanh nghiệp.</t>
  </si>
  <si>
    <t>Các yếu tố công nghệ được sử dụng để đáp ứng nhu cầu bảo mật vật lý của doanh nghiệp.</t>
  </si>
  <si>
    <t>Các yếu tố công nghệ được sử dụng hiệu quả để đáp ứng nhu cầu bảo mật vật lý của doanh nghiệp.</t>
  </si>
  <si>
    <t>Các yếu tố công nghệ được sử dụng hiệu quả để đáp ứng nhu cầu bảo mật vật lý của doanh nghiệp và các đối tác trong hệ sinh thái của doanh nghiệp.</t>
  </si>
  <si>
    <t>Ứng dụng và nền tảng</t>
  </si>
  <si>
    <t>3.4.1</t>
  </si>
  <si>
    <t>Trí tuệ nhân tạo</t>
  </si>
  <si>
    <t>AskBee, Chatbot AI mở rộng trên nền tảng số, công cụ AI hỗ trợ tư vấn viên, phân tích tương tác bằng AI; SmartBanking X dùng AI/ML; kế hoạch AI 2025-2031.</t>
  </si>
  <si>
    <t>84-85; 88-89; 112-113</t>
  </si>
  <si>
    <t>Độ tin cậy: TB. Chưa có số liệu giá trị đo lường từ AI.</t>
  </si>
  <si>
    <t>Việc sử dụng trí tuệ nhân tạo chỉ được thực hiện theo sự vụ.</t>
  </si>
  <si>
    <t>Trí tuệ nhân tạo được một số bộ phận, đơn vị chức năng sử dụng để mang lại giá trị kinh tế.</t>
  </si>
  <si>
    <t>Trí tuệ nhân tạo được sử dụng trong toàn doanh nghiệp để mang lại giá trị kinh tế.</t>
  </si>
  <si>
    <t>Trí tuệ nhân tạo được sử dụng rộng rãi và ngày càng nhiều trong toàn doanh nghiệp để mang lại giá trị kinh tế.</t>
  </si>
  <si>
    <t>Trí tuệ nhân tạo được sử dụng rộng rãi và ngày càng nhiều trong toàn doanh nghiệp và các đối tác trong hệ sinh thái của doanh nghiệp để mang lại giá trị kinh tế.</t>
  </si>
  <si>
    <t>3.4.2</t>
  </si>
  <si>
    <t>Nền tảng dữ liệu lớn</t>
  </si>
  <si>
    <t>Ứng dụng dữ liệu lớn trong kinh doanh; 2026 đẩy nhanh dữ liệu lớn, AI, tự động hóa trong thẩm định tín dụng, quản trị rủi ro, chăm sóc khách hàng; báo cáo quản trị thời gian thực.</t>
  </si>
  <si>
    <t>88-89; 102-103</t>
  </si>
  <si>
    <t>Doanh nghiệp chưa có nền tảng dữ liệu lớn.</t>
  </si>
  <si>
    <t>Doanh nghiệp đã có kế hoạch triển khai nền tảng dữ liệu lớn.</t>
  </si>
  <si>
    <t>Một nền tảng dữ liệu lớn đã được thiết lập và đi vào hoạt động.</t>
  </si>
  <si>
    <t>Một nền tảng dữ liệu lớn đang được sử dụng để thu thập, quản lý và phân tích dữ liệu trong toàn doanh nghiệp nhằm mang lại giá trị kinh tế.</t>
  </si>
  <si>
    <t>Một nền tảng dữ liệu lớn đang được sử dụng để thu thập, quản lý và phân tích dữ liệu trong toàn doanh nghiệp và các đối tác trong hệ sinh thái của doanh nghiệp nhằm mang lại giá trị kinh tế.</t>
  </si>
  <si>
    <t>3.4.3</t>
  </si>
  <si>
    <t>Công cụ phát triển ứng dụng</t>
  </si>
  <si>
    <t>Việc sử dụng các công cụ phát triển ứng dụng được thực hiện theo sự vụ.</t>
  </si>
  <si>
    <t>Doanh nghiệp có sẵn một bộ công cụ phát triển ứng dụng để mang lại giá trị kinh tế.</t>
  </si>
  <si>
    <t>Doanh nghiệp có sẵn một bộ công cụ phát triển ứng dụng hoàn chỉnh để mang lại giá trị kinh tế.</t>
  </si>
  <si>
    <t>Doanh nghiệp có các công cụ phát triển ứng dụng tốt nhất trong cùng phân khúc và liên tục được nâng cao để mang lại giá trị kinh doanh.</t>
  </si>
  <si>
    <t>Doanh nghiệp và các đối tác trong hệ sinh thái của doanh nghiệp có sẵn các công cụ phát triển ứng dụng tốt nhất và liên tục được nâng cao để mang lại giá trị kinh doanh.</t>
  </si>
  <si>
    <t>3.4.4</t>
  </si>
  <si>
    <t>Danh mục công cụ</t>
  </si>
  <si>
    <t>Doanh nghiệp chưa có hành động cụ thể để lập danh mục các công cụ.</t>
  </si>
  <si>
    <t>Một số bộ phận, đơn vị chức năng đã bắt đầu lập danh mục và tài liệu hóa các công cụ họ sử dụng.</t>
  </si>
  <si>
    <t>Hầu hết các bộ phận, đơn vị chức năng duy trì một danh mục và tài liệu hóa về các công cụ họ sử dụng.</t>
  </si>
  <si>
    <t>Có một danh mục toàn doanh nghiệp về các công cụ được sử dụng cùng với tài liệu toàn diện.</t>
  </si>
  <si>
    <t>Có một danh mục các công cụ được sử dụng trên toàn bộ doanh nghiệp và hệ sinh thái của doanh nghiệp cùng với tài liệu toàn diện.</t>
  </si>
  <si>
    <t>Kết nối và tính toán</t>
  </si>
  <si>
    <t>3.5.1</t>
  </si>
  <si>
    <t>Ảo hóa (ví dụ: SDN/NFV)</t>
  </si>
  <si>
    <t>Ảo hóa chưa được sử dụng.</t>
  </si>
  <si>
    <t>Một số bộ phận, đơn vị chức năng sử dụng ảo hóa để mang lại giá trị kinh tế (giảm chi phí, tăng năng suất lao động, ...).</t>
  </si>
  <si>
    <t>Nhiều bộ phận, đơn vị chức năng sử dụng ảo hóa để mang lại giá trị kinh tế.</t>
  </si>
  <si>
    <t>Doanh nghiệp sử dụng hiệu quả ảo hóa ở bất cứ nơi nào nó mang lại giá trị kinh tế.</t>
  </si>
  <si>
    <t>Doanh nghiệp và các đối tác trong hệ sinh thái của doanh nghiệp sử dụng hiệu quả ảo hóa ở bất cứ nơi nào nó mang lại giá trị kinh tế.</t>
  </si>
  <si>
    <t>3.5.2</t>
  </si>
  <si>
    <t>Kết nối không dây</t>
  </si>
  <si>
    <t>Việc sử dụng kết nối không dây được thực hiện theo sự vụ.</t>
  </si>
  <si>
    <t>Một số bộ phận, đơn vị chức năng sử dụng kết nối không dây để mang lại giá trị kinh tế.</t>
  </si>
  <si>
    <t>Nhiều bộ phận, đơn vị chức năng sử dụng kết nối không dây để mang lại giá trị kinh tế.</t>
  </si>
  <si>
    <t>Doanh nghiệp sử dụng hiệu quả kết nối không dây phù hợp ở bất cứ nơi nào giá trị kinh tế được mang lại.</t>
  </si>
  <si>
    <t>Doanh nghiệp và các đối tác trong hệ sinh thái của doanh nghiệp sử dụng hiệu quả kết nối không dây thích hợp ở bất cứ nơi nào giá trị kinh tế được mang lại.</t>
  </si>
  <si>
    <t>3.5.3</t>
  </si>
  <si>
    <t>Giao thức Internet</t>
  </si>
  <si>
    <t>Việc sử dụng IP được thực hiện theo sự vụ.</t>
  </si>
  <si>
    <t>IP được một số bộ phận, đơn vị chức năng sử dụng một cách có chủ ý trong toàn doanh nghiệp.</t>
  </si>
  <si>
    <t>IP được sử dụng bởi hầu hết các bộ phận, đơn vị chức năng trong toàn doanh nghiệp.</t>
  </si>
  <si>
    <t>IP được sử dụng rộng rãi trong toàn doanh nghiệp.</t>
  </si>
  <si>
    <t>IP được sử dụng rộng rãi trong toàn doanh nghiệp và các đối tác trong hệ sinh thái của doanh nghiệp.</t>
  </si>
  <si>
    <t>3.5.4</t>
  </si>
  <si>
    <t>Internet vạn vật</t>
  </si>
  <si>
    <t>loT chưa được sử dụng.</t>
  </si>
  <si>
    <t>Một số bộ phận, đơn vị chức năng sử dụng IoT để mang lại giá trị kinh tế.</t>
  </si>
  <si>
    <t>Hầu hết bộ phận, đơn vị chức năng sử dụng IoT để mang lại giá trị kinh tế.</t>
  </si>
  <si>
    <t>Doanh nghiệp sử dụng hiệu quả IoT ở bất cứ nơi nào nó mang lại giá trị kinh tế.</t>
  </si>
  <si>
    <t>Doanh nghiệp và các đối tác trong hệ sinh thái của doanh nghiệp sử dụng hiệu quả IoT ở bất cứ nơi nào nó mang lại giá trị kinh tế.</t>
  </si>
  <si>
    <t>3.5.5</t>
  </si>
  <si>
    <t>Quản lý hạ tầng</t>
  </si>
  <si>
    <t>Kế hoạch quản lý CNTT tập trung và chuyển đổi mô hình điện toán tại chi nhánh; quy trình cập nhật phần mềm, thiết bị; môi trường phát triển, kiểm thử, dự phòng, vận hành tách biệt.</t>
  </si>
  <si>
    <t>88-89; 112-113</t>
  </si>
  <si>
    <t>Quản lý hạ tầng chỉ được thực hiện theo sự vụ.</t>
  </si>
  <si>
    <t>Một số khía cạnh của Quản lý hạ tầng đang đáp ứng nhu cầu của doanh nghiệp.</t>
  </si>
  <si>
    <t>Hầu hết các khía cạnh của Quản lý hạ tầng đang đáp ứng nhu cầu của doanh nghiệp.</t>
  </si>
  <si>
    <t>Quản lý (các) hạ tầng được tích hợp và đáp ứng nhu cầu của doanh nghiệp và liên tục được cải thiện.</t>
  </si>
  <si>
    <t>Quản lý (các) hạ tầng được tích hợp và đáp ứng nhu cầu của doanh nghiệp cũng như các đối tác trong hệ sinh thái của doanh nghiệp và liên tục được cải thiện.</t>
  </si>
  <si>
    <t>3.5.6</t>
  </si>
  <si>
    <t>Điều phối nguồn lực</t>
  </si>
  <si>
    <t>Điều phối nguồn lực được xử lý chưa hiệu quả.</t>
  </si>
  <si>
    <t>Điều phối nguồn lực đang đáp ứng một phần các - Mức dịch vụ bắt buộc do doanh nghiệp cung cấp.</t>
  </si>
  <si>
    <t>Điều phối nguồn lực đang đáp ứng các - Mức dịch vụ bắt buộc do doanh nghiệp cung cấp.</t>
  </si>
  <si>
    <t>Điều phối nguồn lực đang vượt trội - Mức dịch vụ cần thiết do doanh nghiệp cung cấp.</t>
  </si>
  <si>
    <t>Điều phối đang vượt trội - Mức dịch vụ cần thiết do doanh nghiệp và các đối tác hệ sinh thái của doanh nghiệp cung cấp.</t>
  </si>
  <si>
    <t>3.5.7</t>
  </si>
  <si>
    <t>Điện toán đám mây</t>
  </si>
  <si>
    <t>Định hướng Cloud First - Multi Hybrid Cloud; chưa có minh chứng mức sử dụng thực tế.</t>
  </si>
  <si>
    <t>Hạ tầng điện toán đám mây chưa được sử dụng.</t>
  </si>
  <si>
    <t>Hạ tầng điện toán đám mây được một số bộ phận, đơn vị chức năng sử dụng để mang lại giá trị kinh tế.</t>
  </si>
  <si>
    <t>Hạ tầng điện toán đám mây được hầu hết các bộ phận, đơn vị chức năng sử dụng để mang lại giá trị kinh tế.</t>
  </si>
  <si>
    <t>Doanh nghiệp sử dụng hiệu quả hạ tầng điện toán đám mây ở toàn bộ những nơi mà nó giúp mang lại giá trị kinh tế.</t>
  </si>
  <si>
    <t>Doanh nghiệp và các đối tác trong hệ sinh thái của doanh nghiệp sử dụng hiệu quả hạ tầng điện toán đám mây ở toàn bộ những nơi mà nó giúp mang lại giá trị kinh tế.</t>
  </si>
  <si>
    <t>3.5.8</t>
  </si>
  <si>
    <t>Điện toán biên</t>
  </si>
  <si>
    <t>Điện toán biên chưa được sử dụng.</t>
  </si>
  <si>
    <t>Một số bộ phận, đơn vị chức năng sử dụng điện toán biên để mang lại giá trị kinh tế.</t>
  </si>
  <si>
    <t>Nhiều bộ phận, đơn vị chức năng sử dụng điện toán biên để mang lại giá trị kinh tế.</t>
  </si>
  <si>
    <t>Doanh nghiệp sử dụng hiệu quả điện toán biên ở bất cứ nơi nào nó mang lại giá trị kinh tế.</t>
  </si>
  <si>
    <t>Doanh nghiệp và các đối tác trong hệ sinh thái của doanh nghiệp sử dụng hiệu quả điện toán biên ở bất cứ nơi nào nó mang lại giá trị kinh tế.</t>
  </si>
  <si>
    <t>3.5.9</t>
  </si>
  <si>
    <t>Tự động hóa</t>
  </si>
  <si>
    <t>Tập trung hóa và tự động hóa: hoàn thành giai đoạn 1 tập trung hóa kho quỹ, định giá tài sản tập trung, đề án tập trung hóa nghiệp vụ chuyển tiền đến 2030; B.One.</t>
  </si>
  <si>
    <t>88-89; 12-13</t>
  </si>
  <si>
    <t>Tự động hóa chỉ được thực hiện theo sự vụ.</t>
  </si>
  <si>
    <t>Một số bộ phận, đơn vị chức năng đã áp dụng tự động hóa để mang lại giá trị kinh tế.</t>
  </si>
  <si>
    <t>Hầu hết các quy trình đều được tự động hóa và mang lại giá trị kinh tế.</t>
  </si>
  <si>
    <t>Tự động hóa Zero-Touch đã sẵn sàng và mang lại giá trị kinh tế trong toàn doanh nghiệp.</t>
  </si>
  <si>
    <t>Tự động hóa Zero-Touch đã sẵn sàng và mang lại giá trị kinh tế cho toàn doanh nghiệp và các đối tác trong hệ sinh thái của doanh nghiệp.</t>
  </si>
  <si>
    <t>Quản trị vận hành</t>
  </si>
  <si>
    <t>4.1.1</t>
  </si>
  <si>
    <t>Mô hình doanh nghiệp</t>
  </si>
  <si>
    <t>Tái cơ cấu mô hình: sắp xếp 16 chi nhánh, 94 PGD, tinh gọn Trụ sở chính; mô hình bán lẻ theo phân khúc, tách bán hàng và tác nghiệp tín dụng; chuyên môn hóa, tập trung hóa.</t>
  </si>
  <si>
    <t>Mô hình vận hành chưa hỗ trợ chiến lược chuyển đổi số.</t>
  </si>
  <si>
    <t>Mô hình vận hành đang được xây dựng để phù hợp với chiến lược số.</t>
  </si>
  <si>
    <t>Mô hình vận hành của doanh nghiệp phù hợp với chiến lược số.</t>
  </si>
  <si>
    <t>Mô hình vận hành của doanh nghiệp thể hiện đầy đủ chiến lược số và nó liên tục được cải thiện.</t>
  </si>
  <si>
    <t>Mô hình hoạt động của doanh nghiệp và các đối tác trong hệ sinh thái của doanh nghiệp thể hiện đầy đủ chiến lược số và nó liên tục được cải thiện.</t>
  </si>
  <si>
    <t>4.1.2</t>
  </si>
  <si>
    <t>Quản lý rủi ro hoạt động</t>
  </si>
  <si>
    <t>Quản lý rủi ro hoạt động 3 tuyến; 2025 cải tiến BCP, ứng phó cướp ngân hàng/thiên tai, xếp hạng RRHĐ, QLRRHĐ cho hoạt động thuê ngoài và sản phẩm mới.</t>
  </si>
  <si>
    <t>48-51</t>
  </si>
  <si>
    <t>Quản lý rủi ro hoạt động chỉ được thực hiện theo sự vụ.</t>
  </si>
  <si>
    <t>Quản lý rủi ro hoạt động được áp dụng ở một số bộ phận, đơn vị chức năng.</t>
  </si>
  <si>
    <t>Quản lý rủi ro hoạt động được áp dụng trên hầu hết các bộ phận chức năng.</t>
  </si>
  <si>
    <t>Quản trị rủi ro hoạt động được áp dụng đầy đủ trong hoạt động của doanh nghiệp.</t>
  </si>
  <si>
    <t>Quản lý rủi ro hoạt động được áp dụng đầy đủ trong hoạt động của doanh nghiệp và các đối tác trong hệ sinh thái của doanh nghiệp.</t>
  </si>
  <si>
    <t>4.1.3</t>
  </si>
  <si>
    <t>Sự tuân thủ</t>
  </si>
  <si>
    <t>Basel II sớm, lộ trình Basel III; cập nhật pháp lý (Luật BVDLCN 2025, Luật các TCTD 2025); kiểm tra, giám sát tuân thủ ứng dụng công nghệ giám sát từ xa và cảnh báo sớm.</t>
  </si>
  <si>
    <t>46-49; 56-57; 98-99</t>
  </si>
  <si>
    <t>Việc tuân thủ các yêu cầu pháp lý và quy định cũng như áp dụng các tiêu chuẩn chỉ được thực hiện theo sự vụ.</t>
  </si>
  <si>
    <t>Một số bộ phận, đơn vị chức năng tuân thủ các yêu cầu pháp lý và quy định cũng như áp dụng các tiêu chuẩn trong hoạt động của mình.</t>
  </si>
  <si>
    <t>Hầu hết các bộ phận, đơn vị chức năng tuân thủ các yêu cầu pháp lý và quy định cũng như áp dụng các tiêu chuẩn trong hoạt động của mình.</t>
  </si>
  <si>
    <t>Toàn bộ bộ phận, đơn vị chức năng tuân thủ đầy đủ các yêu cầu pháp lý và quy định cũng như áp dụng các tiêu chuẩn trong hoạt động của mình.</t>
  </si>
  <si>
    <t>Toàn bộ bộ phận, đơn vị chức năng và đối tác trong hệ sinh thái tuân thủ đầy đủ các yêu cầu pháp lý và quy định cũng như áp dụng các tiêu chuẩn trong hoạt động của mình.</t>
  </si>
  <si>
    <t>4.1.4</t>
  </si>
  <si>
    <t>Hoạt động bảo đảm vận hành an toàn trong quản lý tài sản doanh nghiệp</t>
  </si>
  <si>
    <t>Kế hoạch duy trì hoạt động liên tục (BCP) và ứng phó cướp ngân hàng, thiên tai để đơn vị hoạt động an toàn, thông suốt.</t>
  </si>
  <si>
    <t>48-49</t>
  </si>
  <si>
    <t>Hoạt động bảo vệ tài sản của doanh nghiệp chỉ được thực hiện theo sự vụ.</t>
  </si>
  <si>
    <t>Doanh nghiệp đang bảo vệ một phần tài sản của mình.</t>
  </si>
  <si>
    <t>Hoạt động bảo đảm vận hành bảo vệ tài sản doanh nghiệp được thực hiện trong toàn bộ doanh nghiệp.</t>
  </si>
  <si>
    <t>Hoạt động bảo đảm vận hành bảo vệ toàn diện tài sản doanh nghiệp trong thời gian thực trên toàn doanh nghiệp.</t>
  </si>
  <si>
    <t>Hoạt động bảo đảm vận hành bảo vệ hoàn toàn tài sản doanh nghiệp trong thời gian thực trên toàn doanh nghiệp và được thống nhất với các đối tác trong hệ sinh thái của doanh nghiệp.</t>
  </si>
  <si>
    <t>Thiết kế và đổi mới sáng tạo dịch vụ</t>
  </si>
  <si>
    <t>4.2.1</t>
  </si>
  <si>
    <t>Đáp ứng yêu cầu kinh doanh/nghiệp vụ</t>
  </si>
  <si>
    <t>Các yêu cầu nghiệp vụ được chuyển thành Kiến trúc và thiết kế dịch vụ được thực hiện theo sự vụ.</t>
  </si>
  <si>
    <t>Các yêu cầu kinh doanh/nghiệp vụ được hiểu bởi một số bộ phận, đơn vị chức năng và được chuyển thành Kiến trúc và thiết kế dịch vụ.</t>
  </si>
  <si>
    <t>Các yêu cầu kinh doanh/nghiệp vụ được hiểu bởi hầu hết các bộ phận, đơn vị chức năng và được chuyển thành Kiến trúc và thiết kế dịch vụ.</t>
  </si>
  <si>
    <t>Các yêu cầu kinh doanh/nghiệp vụ được doanh nghiệp hiểu đầy đủ và chuyển thành Kiến trúc và thiết kế dịch vụ.</t>
  </si>
  <si>
    <t>Các yêu cầu kinh doanh/nghiệp vụ được doanh nghiệp và các đối tác trong hệ sinh thái của doanh nghiệp hiểu đầy đủ và chuyển thành Kiến trúc và thiết kế dịch vụ.</t>
  </si>
  <si>
    <t>4.2.2</t>
  </si>
  <si>
    <t>Tư duy Thiết kế (Design Thinking)</t>
  </si>
  <si>
    <t>Tư duy Thiết kế chưa được sử dụng.</t>
  </si>
  <si>
    <t>Tư duy Thiết kế được áp dụng bởi một số bộ phận, đơn vị chức năng để hiểu nhu cầu và thách thức của các bên liên quan.</t>
  </si>
  <si>
    <t>Tư duy Thiết kế được hầu hết các bộ phận, đơn vị chức năng áp dụng để hiểu nhu cầu và thách thức của các bên liên quan.</t>
  </si>
  <si>
    <t>Tư duy Thiết kế được doanh nghiệp áp dụng đầy đủ để hiểu nhu cầu và thách thức của các bên liên quan.</t>
  </si>
  <si>
    <t>Tư duy Thiết kế được doanh nghiệp và các đối tác trong hệ sinh thái của doanh nghiệp áp dụng đầy đủ để hiểu nhu cầu và thách thức của các bên liên quan.</t>
  </si>
  <si>
    <t>4.2.3</t>
  </si>
  <si>
    <t>Phát triển linh hoạt</t>
  </si>
  <si>
    <t>Agile methods chưa được sử dụng.</t>
  </si>
  <si>
    <t>Agile methods được một số bộ phận, đơn vị chức năng áp dụng trong quá trình phát triển và cải tiến sản phẩm.</t>
  </si>
  <si>
    <t>Agile methods được hầu hết các bộ phận, đơn vị chức năng áp dụng trong quá trình phát triển và cải tiến sản phẩm.</t>
  </si>
  <si>
    <t>Agile methods được toàn bộ doanh nghiệp áp dụng trong quá trình phát triển và cải tiến sản phẩm.</t>
  </si>
  <si>
    <t>Agile methods được doanh nghiệp và các đối tác trong hệ sinh thái của doanh nghiệp áp dụng đầy đủ trong quá trình phát triển và cải tiến sản phẩm.</t>
  </si>
  <si>
    <t>4.2.4</t>
  </si>
  <si>
    <t>Tối ưu hóa quy trình</t>
  </si>
  <si>
    <t>Chuẩn hóa hàng trăm quy trình, quy định; tinh giản thủ tục, giảm điểm chạm với chi nhánh; B.One số hóa quản trị nội bộ.</t>
  </si>
  <si>
    <t>Tối ưu hóa quy trình được thực hiện theo sự vụ.</t>
  </si>
  <si>
    <t>Một số bộ phận, đơn vị chức năng có tối ưu hóa quy trình hoạt động.</t>
  </si>
  <si>
    <t>Hầu hết các bộ phận, đơn vị chức năng có tối ưu hóa quy trình hoạt động.</t>
  </si>
  <si>
    <t>Các quy trình vận hành được doanh nghiệp tối ưu hóa hoàn toàn bất cứ khi nào có thể.</t>
  </si>
  <si>
    <t>Các quy trình vận hành được doanh nghiệp và các đối tác trong hệ sinh thái của doanh nghiệp tối ưu hóa hoàn toàn bất cứ khi nào có thể.</t>
  </si>
  <si>
    <t>4.2.5</t>
  </si>
  <si>
    <t>Đổi mới liên tục sản phẩm và dịch vụ</t>
  </si>
  <si>
    <t>7 giải Sao Khuê 2025; ra mắt SmartBanking X, BIDV Direct, AskBee; chuyển đổi bán lẻ; ứng lương tự động.</t>
  </si>
  <si>
    <t>Đổi mới sáng tạo được thực hiện theo sự vụ.</t>
  </si>
  <si>
    <t>Một số bộ phận, đơn vị chức năng đổi mới để cải thiện các dịch vụ hiện có và giới thiệu những dịch vụ mới.</t>
  </si>
  <si>
    <t>Hầu hết các bộ phận, đơn vị chức năng đổi mới để cải thiện các dịch vụ hiện có và giới thiệu những dịch vụ mới.</t>
  </si>
  <si>
    <t>Doanh nghiệp liên tục đổi mới để cải thiện các dịch vụ hiện có và giới thiệu những dịch vụ mới.</t>
  </si>
  <si>
    <t>Doanh nghiệp và các đối tác trong hệ sinh thái của mình liên tục đổi mới để cải thiện các dịch vụ hiện có và giới thiệu các dịch vụ mới.</t>
  </si>
  <si>
    <t>4.2.6</t>
  </si>
  <si>
    <t>Hợp tác với đối tác</t>
  </si>
  <si>
    <t>Hợp tác Hana Bank (30 dự án hỗ trợ kỹ thuật), FIS (core banking), tư vấn quốc tế cho chuyển đổi bán lẻ; liên doanh bảo hiểm, thuê tài chính.</t>
  </si>
  <si>
    <t>66-71; 90-91; 98-99</t>
  </si>
  <si>
    <t>Hợp tác đối tác được thực hiện theo sự vụ.</t>
  </si>
  <si>
    <t>Một số bộ phận, đơn vị chức năng có quy trình Hợp tác đối tác hiệu quả.</t>
  </si>
  <si>
    <t>Hầu hết các bộ phận, đơn vị chức năng đều có quy trình Hợp tác đối tác hiệu quả.</t>
  </si>
  <si>
    <t>Doanh nghiệp có một quy trình hiệu quả để Hợp tác các đối tác.</t>
  </si>
  <si>
    <t>Doanh nghiệp và các đối tác trong hệ sinh thái của mình có một quy trình hiệu quả để Hợp tác các đối tác.</t>
  </si>
  <si>
    <t>Chuyển tiếp/Triển khai dịch vụ</t>
  </si>
  <si>
    <t>4.3.1</t>
  </si>
  <si>
    <t>Quản lý thay đổi hoạt động</t>
  </si>
  <si>
    <t>Core banking go-live theo kịch bản và lịch trình đã lập (Profile 2023, Yangon 2025); quy trình chặt chẽ cập nhật phần mềm, thiết bị.</t>
  </si>
  <si>
    <t>Quản lý thay đổi được thực hiện theo sự vụ.</t>
  </si>
  <si>
    <t>Một số bộ phận, đơn vị chức năng đã thống nhất và xác định trách nhiệm quản lý thay đổi.</t>
  </si>
  <si>
    <t>Hầu hết các bộ phận, đơn vị chức năng đã thống nhất và xác định trách nhiệm quản lý thay đổi.</t>
  </si>
  <si>
    <t>Doanh nghiệp đã xác định rõ ràng trách nhiệm quản lý thay đổi.</t>
  </si>
  <si>
    <t>Doanh nghiệp và các đối tác trong hệ sinh thái của doanh nghiệp đã thống nhất và xác định rõ trách nhiệm đối với việc quản lý thay đổi.</t>
  </si>
  <si>
    <t>4.3.2</t>
  </si>
  <si>
    <t>Quản lý phát hành</t>
  </si>
  <si>
    <t>Quản lý phát hành được thực hiện theo sự vụ.</t>
  </si>
  <si>
    <t>Cách tiếp cận Quản lý phát hành được một số bộ phận bộ phận, đơn vị chức năng đồng ý và áp dụng.</t>
  </si>
  <si>
    <t>Cách tiếp cận Quản lý phát hành được hầu hết các bộ phận bộ phận, đơn vị chức năng đồng ý và áp dụng.</t>
  </si>
  <si>
    <t>Cách tiếp cận Quản lý phát hành linh hoạt, được thống nhất và áp dụng trong toàn doanh nghiệp.</t>
  </si>
  <si>
    <t>Cách tiếp cận Quản lý phát hành linh hoạt, được thống nhất và áp dụng trong toàn doanh nghiệp và các đối tác trong hệ sinh thái của doanh nghiệp.</t>
  </si>
  <si>
    <t>4.3.3</t>
  </si>
  <si>
    <t>DevSecOps</t>
  </si>
  <si>
    <t>DevSecOps chưa được sử dụng.</t>
  </si>
  <si>
    <t>Các nguyên tắc DevSecOps đang bắt đầu được xác định.</t>
  </si>
  <si>
    <t>Các nguyên tắc DevSecOps được xác định và bắt đầu được giới thiệu.</t>
  </si>
  <si>
    <t>Các nguyên tắc DevSecOps được doanh nghiệp áp dụng triệt để.</t>
  </si>
  <si>
    <t>Các nguyên tắc DevSecOps được doanh nghiệp và các đối tác trong hệ sinh thái của doanh nghiệp áp dụng đầy đủ.</t>
  </si>
  <si>
    <t>4.3.4</t>
  </si>
  <si>
    <t>CI/CD</t>
  </si>
  <si>
    <t>CI/CD chưa được sử dụng.</t>
  </si>
  <si>
    <t>Quy trình công việc CI/CD đang bắt đầu được xác định.</t>
  </si>
  <si>
    <t>Quy trình công việc CI/CD được ghi lại đang bắt đầu được giới thiệu.</t>
  </si>
  <si>
    <t>Doanh nghiệp vận hành quy trình công việc CI/CD được ưu tiên và ghi chép đầy đủ.</t>
  </si>
  <si>
    <t>Doanh nghiệp và các đối tác trong hệ sinh thái của doanh nghiệp vận hành quy trình làm việc CI/CD được ưu tiên và ghi chép đầy đủ.</t>
  </si>
  <si>
    <t>Vận hành dịch vụ</t>
  </si>
  <si>
    <t>4.4.1</t>
  </si>
  <si>
    <t>Đảm bảo dịch vụ</t>
  </si>
  <si>
    <t>Hệ thống IT vận hành an toàn, thông suốt khi giao dịch tăng 1,5 lần; hiệu năng tối đa tăng hơn 5 lần so với 2024; rà soát đầu tư hạ tầng Zero Downtime; Contact Center 24/7.</t>
  </si>
  <si>
    <t>Đảm bảo dịch vụ được thực hiện theo sự vụ.</t>
  </si>
  <si>
    <t>Đảm bảo dịch vụ được ban hành nhưng thỉnh thoảng các dịch vụ mới đạt được - Mức hiệu suất đã thỏa thuận.</t>
  </si>
  <si>
    <t>Đảm bảo dịch vụ được áp dụng và các dịch vụ đang hoạt động ở - Mức hiệu suất đã thỏa thuận.</t>
  </si>
  <si>
    <t>Đảm bảo dịch vụ được áp dụng và các dịch vụ do doanh nghiệp cung cấp đang hoạt động ở - Mức hiệu suất đã thỏa thuận và liên tục cải thiện.</t>
  </si>
  <si>
    <t>Đảm bảo dịch vụ được áp dụng và các dịch vụ do doanh nghiệp và các đối tác trong hệ sinh thái của doanh nghiệp cung cấp đang hoạt động ở - Mức hiệu suất đã thỏa thuận và liên tục cải thiện.</t>
  </si>
  <si>
    <t>4.4.2</t>
  </si>
  <si>
    <t>SRE</t>
  </si>
  <si>
    <t>SRE chưa được sử dụng.</t>
  </si>
  <si>
    <t>SRE được thực hiện một phần bởi doanh nghiệp.</t>
  </si>
  <si>
    <t>SRE được thực hiện bởi doanh nghiệp.</t>
  </si>
  <si>
    <t>SRE được doanh nghiệp triển khai hiệu quả để cung cấp các hoạt động dịch vụ không có lỗi.</t>
  </si>
  <si>
    <t>SRE được doanh nghiệp và các đối tác trong hệ sinh thái của doanh nghiệp triển khai hiệu quả để cung cấp các hoạt động dịch vụ không có lỗi.</t>
  </si>
  <si>
    <t>4.4.3</t>
  </si>
  <si>
    <t>Hoạt động chuỗi cung ứng</t>
  </si>
  <si>
    <t>Hoạt động chuỗi cung ứng chưa linh hoạt và chưa kịp thời.</t>
  </si>
  <si>
    <t>Hoạt động chuỗi cung ứng có tính linh hoạt hạn chế.</t>
  </si>
  <si>
    <t>Hoạt động chuỗi cung ứng linh hoạt.</t>
  </si>
  <si>
    <t>Hoạt động chuỗi cung ứng linh hoạt và có thể phản ứng kịp thời với những thay đổi.</t>
  </si>
  <si>
    <t>Hoạt động chuỗi cung ứng của doanh nghiệp và các đối tác trong hệ sinh thái của doanh nghiệp rất linh hoạt và có thể phản ứng kịp thời với những thay đổi.</t>
  </si>
  <si>
    <t>4.4.4</t>
  </si>
  <si>
    <t>Đáp ứng yêu cầu sản phẩm và dịch vụ của khách hàng</t>
  </si>
  <si>
    <t>Vay ứng lương tự động trên SmartBanking; bảo lãnh điện tử kết nối hệ thống đấu thầu quốc gia; ký số tập trung; i-Translation ISO 20022.</t>
  </si>
  <si>
    <t>Đáp ứng yêu cầu sản phẩm và dịch vụ được thực hiện theo sự vụ.</t>
  </si>
  <si>
    <t>Đáp ứng yêu cầu sản phẩm và dịch vụ đang bắt đầu để đảm bảo rằng các sản phẩm hoàn chỉnh và theo yêu cầu của khách hàng.</t>
  </si>
  <si>
    <t>Đáp ứng yêu cầu sản phẩm và dịch vụ đảm bảo các sản phẩm được cung cấp bởi doanh nghiệp là hoàn chỉnh và thường theo yêu cầu.</t>
  </si>
  <si>
    <t>Đáp ứng yêu cầu sản phẩm và dịch vụ đảm bảo các sản phẩm do doanh nghiệp cung cấp luôn đầy đủ và có sẵn theo yêu cầu.</t>
  </si>
  <si>
    <t>Đáp ứng yêu cầu sản phẩm và dịch vụ đảm bảo các sản phẩm do doanh nghiệp và các đối tác trong hệ sinh thái của doanh nghiệp cung cấp luôn đầy đủ và sẵn sàng theo yêu cầu.</t>
  </si>
  <si>
    <t>4.4.5</t>
  </si>
  <si>
    <t>Giám sát hoạt động</t>
  </si>
  <si>
    <t>Giám sát hoạt động được thực hiện theo sự vụ.</t>
  </si>
  <si>
    <t>Giám sát hoạt động cung cấp cái nhìn một phần về hiệu suất dịch vụ để quản lý các dịch vụ do doanh nghiệp cung cấp.</t>
  </si>
  <si>
    <t>Giám sát hoạt động cung cấp một cái nhìn toàn diện về hiệu suất dịch vụ để quản lý các dịch vụ do doanh nghiệp cung cấp.</t>
  </si>
  <si>
    <t>Giám sát hoạt động cung cấp một cái nhìn tổng thể theo thời gian thực về hiệu suất dịch vụ để quản lý và cải thiện các dịch vụ do doanh nghiệp cung cấp.</t>
  </si>
  <si>
    <t>Giám sát hoạt động cung cấp một cái nhìn tổng thể theo thời gian thực về hiệu suất dịch vụ để quản lý và cải thiện các dịch vụ do doanh nghiệp và các đối tác trong hệ sinh thái của doanh nghiệp cung cấp.</t>
  </si>
  <si>
    <t>4.4.6</t>
  </si>
  <si>
    <t>Hoạt động quản lý doanh thu</t>
  </si>
  <si>
    <t>Các công nghệ số chưa được doanh nghiệp sử dụng để đảm bảo doanh thu.</t>
  </si>
  <si>
    <t>Các công nghệ số được doanh nghiệp sử dụng một phần để đảm bảo doanh thu.</t>
  </si>
  <si>
    <t>Các công nghệ số được doanh nghiệp sử dụng để đảm bảo doanh thu.</t>
  </si>
  <si>
    <t>Các công nghệ số được doanh nghiệp sử dụng rộng rãi để đảm bảo doanh thu theo thời gian thực.</t>
  </si>
  <si>
    <t>Các công nghệ số được doanh nghiệp và các đối tác trong hệ sinh thái của doanh nghiệp sử dụng rộng rãi để đảm bảo doanh thu theo thời gian thực.</t>
  </si>
  <si>
    <t>4.4.7</t>
  </si>
  <si>
    <t>Hoạt động quản lý gian lận</t>
  </si>
  <si>
    <t>Quy trình PCRT/cấm vận kiểm soát từ khi thiết lập quan hệ khách hàng; SmartBanking X cảnh báo giao dịch nghi ngờ bằng AI/ML; BIDV Direct chặn giao dịch khi chưa sinh trắc học.</t>
  </si>
  <si>
    <t>BIDV, Báo cáo thường niên 2025 (bidv.com.vn - Quan hệ nhà đầu tư); thitruongtaichinhtiente.vn, 'BIDV SmartBanking phiên bản X - dấu ấn tiên phong cùng loạt tính năng mới' (07/2025); sggp.org.vn, 'BIDV nỗ lực làm chủ công nghệ để bứt phá tương lai số' (2025)</t>
  </si>
  <si>
    <t>Các công nghệ số chưa được doanh nghiệp sử dụng để ngăn chặn rủi ro.</t>
  </si>
  <si>
    <t>Các công nghệ số được doanh nghiệp sử dụng một phần để ngăn chặn gian lận.</t>
  </si>
  <si>
    <t>Các công nghệ số được doanh nghiệp sử dụng để ngăn chặn gian lận.</t>
  </si>
  <si>
    <t>Các công nghệ số được doanh nghiệp sử dụng rộng rãi để ngăn chặn gian lận trong thời gian thực.</t>
  </si>
  <si>
    <t>Các công nghệ số được doanh nghiệp và các đối tác trong hệ sinh thái của doanh nghiệp sử dụng rộng rãi để ngăn chặn gian lận trong thời gian thực.</t>
  </si>
  <si>
    <t>4.4.8</t>
  </si>
  <si>
    <t>Vận hành hệ thống</t>
  </si>
  <si>
    <t>Chuyển đổi Core Banking Profile (03/09/2023), thay hệ thống lõi cũ, tích hợp hàng trăm ứng dụng; tự làm chủ, nâng cấp toàn diện.</t>
  </si>
  <si>
    <t>20-21; 88-89</t>
  </si>
  <si>
    <t>Nâng cấp, cải tiến hệ thống sẵn có chỉ được thực hiện theo sự vụ.</t>
  </si>
  <si>
    <t>Các hệ thống cũ được nâng cấp và tích hợp một phần vào các hoạt động tổng thể.</t>
  </si>
  <si>
    <t>Các hệ thống cũ được nâng cấp và tích hợp vào các hoạt động tổng thể.</t>
  </si>
  <si>
    <t>Các hệ thống cũ được nâng cấp và tích hợp đầy đủ và liền mạch vào các hoạt động tổng thể.</t>
  </si>
  <si>
    <t>Các hệ thống cũ của doanh nghiệp và đối tác trong hệ sinh thái của doanh nghiệp được nâng cấp và tích hợp đầy đủ và liền mạch vào các hoạt động tổng thể.</t>
  </si>
  <si>
    <t>Giá trị doanh nghiệp</t>
  </si>
  <si>
    <t>5.1.1</t>
  </si>
  <si>
    <t>Hành vi lãnh đạo</t>
  </si>
  <si>
    <t>Phương châm 2025 'Trách nhiệm - Tinh gọn - Hiệu quả - Tăng tốc chuyển đổi'; phương châm 2026 'Kỷ cương - Chất lượng - Hiệu quả - Chuyển đổi toàn diện'; lãnh đạo xây dựng văn hóa làm việc đề cao hiệu quả.</t>
  </si>
  <si>
    <t>BIDV, Báo cáo thường niên 2025 (bidv.com.vn - Quan hệ nhà đầu tư); bidv.com.vn, 'BIDV tổ chức ĐHĐCĐ thường niên 2025' (26/04/2025)</t>
  </si>
  <si>
    <t>88-89; 100-103</t>
  </si>
  <si>
    <t>Hành vi của lãnh đạo được thực hiện theo sự vụ, chưa có sự liên kết rõ ràng với chiến lược và hoàn cảnh của doanh nghiệp.</t>
  </si>
  <si>
    <t>Hành vi lãnh đạo trong một số bộ phận, đơn vị chức năng phù hợp với chiến lược và bối cảnh của doanh nghiệp.</t>
  </si>
  <si>
    <t>Hành vi lãnh đạo trong hầu hết các bộ phận, đơn vị chức năng phù hợp với chiến lược và bối cảnh của doanh nghiệp.</t>
  </si>
  <si>
    <t>Hành vi lãnh đạo trong toàn doanh nghiệp hoàn toàn phù hợp với chiến lược và bối cảnh của doanh nghiệp.</t>
  </si>
  <si>
    <t>Hành vi lãnh đạo trong toàn doanh nghiệp và các đối tác trong hệ sinh thái hoàn toàn phù hợp với chiến lược và bối cảnh chung của họ.</t>
  </si>
  <si>
    <t>5.1.2</t>
  </si>
  <si>
    <t>Tác động của nhân viên</t>
  </si>
  <si>
    <t>Nhân viên chưa hiểu tác động của họ đối với doanh nghiệp.</t>
  </si>
  <si>
    <t>Nhân viên trong một số bộ phận, đơn vị chức năng hiểu tác động của họ ở cấp độ bộ phận, đơn vị chức năng.</t>
  </si>
  <si>
    <t>Nhân viên trong hầu hết các bộ phận, đơn vị chức năng hiểu tác động của họ ở cấp độ bộ phận, đơn vị chức năng.</t>
  </si>
  <si>
    <t>Tất cả nhân viên của doanh nghiệp hiểu đầy đủ tác động của họ đối với doanh nghiệp.</t>
  </si>
  <si>
    <t>Tất cả nhân viên của doanh nghiệp và các đối tác trong hệ sinh thái của doanh nghiệp hiểu đầy đủ về tác động và đóng góp của họ đối với hoạt động kinh doanh chung của họ.</t>
  </si>
  <si>
    <t>5.1.3</t>
  </si>
  <si>
    <t>Giá trị được chia sẻ</t>
  </si>
  <si>
    <t>Phong trào học tập 'kiến thức số', 'văn hóa số'; 100% Ban lãnh đạo cấp cao đã tham gia chương trình ESG; chiến dịch Digi Up (2020).</t>
  </si>
  <si>
    <t>Nhân viên chưa biết chiến lược chuyển đổi số.</t>
  </si>
  <si>
    <t>Nhân viên trong một số bộ phận, đơn vị chức năng ủng hộ chiến lược số của doanh nghiệp.</t>
  </si>
  <si>
    <t>Nhân viên ở hầu hết các bộ phận, đơn vị chức năng tin tưởng vào chiến lược số của doanh nghiệp.</t>
  </si>
  <si>
    <t>Tất cả nhân viên hoàn toàn tin tưởng vào chiến lược số của doanh nghiệp.</t>
  </si>
  <si>
    <t>Tất cả nhân viên hoàn toàn đồng ý với chiến lược số được chia sẻ của doanh nghiệp và các đối tác trong hệ sinh thái của doanh nghiệp.</t>
  </si>
  <si>
    <t>5.1.4</t>
  </si>
  <si>
    <t>Thất bại có kiểm soát</t>
  </si>
  <si>
    <t>Văn hóa chưa khuyến khích sự minh bạch và sự thất bại.</t>
  </si>
  <si>
    <t>Một số bộ phận, đơn vị chức năng có văn hóa cho phép “thất bại trong một giới hạn nhất định” với các cơ chế được áp dụng để giảm thiểu các tác động ảnh hưởng.</t>
  </si>
  <si>
    <t>Hầu hết các bộ phận, đơn vị chức năng có văn hóa cho phép “thất bại trong một giới hạn nhất định” với các cơ chế được áp dụng để giảm thiểu các tác động ảnh hưởng.</t>
  </si>
  <si>
    <t>Toàn bộ doanh nghiệp có văn hóa cho phép “thất bại trong một giới hạn nhất định” với các cơ chế được áp dụng để giảm thiểu các tác động ảnh hưởng.</t>
  </si>
  <si>
    <t>Toàn bộ doanh nghiệp và các đối tác trong hệ sinh thái của doanh nghiệp có văn hóa cho phép “thất bại trong 1 giới hạn nhất định” với các cơ chế được áp dụng để giảm thiểu các tác động ảnh hưởng.</t>
  </si>
  <si>
    <t>5.1.5</t>
  </si>
  <si>
    <t>Cộng tác ảo</t>
  </si>
  <si>
    <t>B.One: môi trường quản trị nội bộ số hóa toàn diện cho hơn 26.000 cán bộ; AskBee tra cứu văn bản; ký số tập trung (Sao Khuê 2025).</t>
  </si>
  <si>
    <t>Cộng tác ảo được thực hiện theo sự vụ.</t>
  </si>
  <si>
    <t>Một số bộ phận, đơn vị chức năng có khả năng cho phép cộng tác ảo.</t>
  </si>
  <si>
    <t>Hầu hết các bộ phận, đơn vị chức năng đều có khả năng cộng tác ảo.</t>
  </si>
  <si>
    <t>Toàn bộ doanh nghiệp có khả năng toàn diện cộng tác ảo trong và giữa các bộ phận, đơn vị chức năng.</t>
  </si>
  <si>
    <t>Toàn bộ doanh nghiệp và các đối tác trong hệ sinh thái của doanh nghiệp có khả năng toàn diện cộng tác ảo trong và giữa các bộ phận, đơn vị chức năng.</t>
  </si>
  <si>
    <t>5.1.6</t>
  </si>
  <si>
    <t>Sự hòa nhập</t>
  </si>
  <si>
    <t>Nữ chiếm 58,68%, nam 41,32%; trên 96,5% cán bộ trình độ đại học trở lên; Doanh nghiệp tiêu biểu vì người lao động 2025.</t>
  </si>
  <si>
    <t>62-63; 76-77</t>
  </si>
  <si>
    <t>Các hoạt động thúc đẩy sự hòa nhập trong doanh nghiệp chỉ được thực hiện theo sự vụ.</t>
  </si>
  <si>
    <t>Một số bộ phận, đơn vị chức năng thúc đẩy toàn diện sự hòa nhập.</t>
  </si>
  <si>
    <t>Hầu hết các bộ phận, đơn vị chức năng thúc đẩy toàn diện sự hòa nhập.</t>
  </si>
  <si>
    <t>doanh nghiệp hoàn toàn chấp nhận sự hòa nhập.</t>
  </si>
  <si>
    <t>Doanh nghiệp và các đối tác hệ sinh thái của doanh nghiệp hoàn toàn chấp nhận sự hòa nhập.</t>
  </si>
  <si>
    <t>Quản lý tài năng</t>
  </si>
  <si>
    <t>5.2.1</t>
  </si>
  <si>
    <t>Chính sách đãi ngộ</t>
  </si>
  <si>
    <t>Đổi mới quy chế lương gắn KPI; khung tiêu chí đánh giá, phân nhóm cán bộ theo hiệu quả, gắn khen thưởng - kỷ luật; thu nhập cạnh tranh.</t>
  </si>
  <si>
    <t>Độ tin cậy: TB. Chưa nêu gắn riêng với chiến lược số.</t>
  </si>
  <si>
    <t>Chính sách đãi ngộ được áp dụng một cách cứng nhắc và chưa thúc đẩy chiến lược chuyển đổi số.</t>
  </si>
  <si>
    <t>Chính sách đãi ngộ hoàn toàn phù hợp với và được hiển thị để thúc đẩy chiến lược số của một số bộ phận, đơn vị chức năng.</t>
  </si>
  <si>
    <t>Chính sách đãi ngộ hoàn toàn phù hợp và được hiển thị để thúc đẩy chiến lược số của hầu hết các bộ phận, đơn vị chức năng.</t>
  </si>
  <si>
    <t>Chính sách đãi ngộ hoàn toàn phù hợp và được thể hiện để thúc đẩy chiến lược số của doanh nghiệp.</t>
  </si>
  <si>
    <t>Chính sách đãi ngộ hoàn toàn phù hợp và được thể hiện để thúc đẩy chiến lược số của doanh nghiệp và các đối tác trong hệ sinh thái của doanh nghiệp.</t>
  </si>
  <si>
    <t>5.2.2</t>
  </si>
  <si>
    <t>Năng lực cơ bản</t>
  </si>
  <si>
    <t>Khung năng lực theo vị trí chức danh dùng để thiết kế đào tạo; khung tiêu chí đánh giá cán bộ; bộ KPI.</t>
  </si>
  <si>
    <t>76-77; 88-89</t>
  </si>
  <si>
    <t>Doanh nghiệp chưa có một hồ sơ cấu trúc về năng lực của lực lượng lao động.</t>
  </si>
  <si>
    <t>Một số bộ phận, đơn vị chức năng chưa có một hồ sơ cấu trúc về năng lực của lực lượng lao động của họ.</t>
  </si>
  <si>
    <t>Hầu hết các bộ phận, đơn vị chức năng đã có một hồ sơ cấu trúc về năng lực của lực lượng lao động của họ.</t>
  </si>
  <si>
    <t>Toàn bộ doanh nghiệp có một hồ sơ cấu trúc chính xác về năng lực của lực lượng lao động của mình.</t>
  </si>
  <si>
    <t>Toàn bộ doanh nghiệp và các đối tác trong hệ sinh thái của doanh nghiệp có hồ sơ cấu trúc chính xác về năng lực của lực lượng lao động được chia sẻ.</t>
  </si>
  <si>
    <t>5.2.3</t>
  </si>
  <si>
    <t>Lập kế hoạch phát triển lực lượng lao động</t>
  </si>
  <si>
    <t>Xây dựng cơ sở dữ liệu bản đồ nhân sự hệ thống; chuyển dịch cơ cấu lao động (tăng cán bộ quản lý khách hàng, vị trí bán hàng mới); tinh giản; mục tiêu tìm kiếm chuyên gia ngân hàng số.</t>
  </si>
  <si>
    <t>88-89; 62-65</t>
  </si>
  <si>
    <t>Các kỹ năng cần thiết để triển khai chiến lược chuyển đổi số được xác định được thực hiện theo sự vụ.</t>
  </si>
  <si>
    <t>Một số bộ phận có sẵn quy trình xác định các kỹ năng cần thiết để thực hiện chiến lược số.</t>
  </si>
  <si>
    <t>Hầu hết các bộ phận, đơn vị chức năng đều có quy trình hiệu quả để xác định các kỹ năng cần thiết để thực hiện chiến lược số.</t>
  </si>
  <si>
    <t>Toàn bộ doanh nghiệp có sẵn một quy trình hiệu quả để xác định các kỹ năng cần thiết để thực hiện chiến lược số.</t>
  </si>
  <si>
    <t>Toàn bộ doanh nghiệp và các đối tác trong hệ sinh thái của doanh nghiệp có một quy trình hiệu quả để xác định các kỹ năng cần thiết nhằm thực hiện chiến lược số.</t>
  </si>
  <si>
    <t>5.2.4</t>
  </si>
  <si>
    <t>Thu hút nhân tài</t>
  </si>
  <si>
    <t>Nơi làm việc tốt nhất Việt Nam 3 năm liên tiếp (Anphabe), Nơi làm việc tốt nhất châu Á 2025 (HR Asia); chuyển tuyển dụng truyền thống sang chủ động thu hút nhân tài.</t>
  </si>
  <si>
    <t>14-15; 76-77; 88-89</t>
  </si>
  <si>
    <t>Các kỹ năng cần thiết để doanh nghiệp triển khai chiến lược chuyển đổi số.</t>
  </si>
  <si>
    <t>Một số bộ phận, đơn vị chức năng có sẵn quy trình để đạt các kỹ năng cần thiết để thực hiện chiến lược số.</t>
  </si>
  <si>
    <t>Hầu hết các bộ phận, đơn vị chức năng đều có quy trình hiệu quả để đạt các kỹ năng cần thiết nhằm thực hiện chiến lược số, bao gồm cả việc sử dụng các nguồn lực nhân tài phi truyền thống.</t>
  </si>
  <si>
    <t>Toàn bộ doanh nghiệp có quy trình hiệu quả để đạt các kỹ năng cần thiết nhằm thực hiện chiến lược số, bao gồm cả việc sử dụng các nguồn lực nhân tài phi truyền thống.</t>
  </si>
  <si>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</si>
  <si>
    <t>5.2.5</t>
  </si>
  <si>
    <t>Nhóm tài năng bên ngoài</t>
  </si>
  <si>
    <t>Chương trình giao lưu nhân lực chất lượng cao với Hana Bank trong khuôn khổ hợp tác chiến lược.</t>
  </si>
  <si>
    <t>Độ tin cậy: Thấp. Chưa thấy chương trình nuôi dưỡng nhân tài bên ngoài rộng hơn.</t>
  </si>
  <si>
    <t>Doanh nghiệp chưa nuôi dưỡng nguồn tài năng bên ngoài.</t>
  </si>
  <si>
    <t>Một số bộ phận, đơn vị chức năng đã thiết lập một nhóm tài năng từ những nhân viên tiềm năng.</t>
  </si>
  <si>
    <t>Hầu hết bộ phận, đơn vị chức năng đã thiết lập một nhóm tài năng từ những nhân viên tiềm năng.</t>
  </si>
  <si>
    <t>Toàn bộ doanh nghiệp được coi là một nhà tuyển dụng hấp dẫn với đội ngũ nhân tài tiềm năng đã được thiết lập.</t>
  </si>
  <si>
    <t>Toàn bộ doanh nghiệp và các đối tác trong hệ sinh thái của doanh nghiệp được coi là những nhà tuyển dụng hấp dẫn với đội ngũ nhân tài tiềm năng lâu đời.</t>
  </si>
  <si>
    <t>5.2.6</t>
  </si>
  <si>
    <t>Phát triển tài năng</t>
  </si>
  <si>
    <t>96,4% cán bộ (~24.049 người) tham gia ít nhất một chương trình đào tạo (mục tiêu 90%); 128.269 lượt học viên (212% kế hoạch); chương trình lãnh đạo trẻ; đào tạo theo khung năng lực.</t>
  </si>
  <si>
    <t>76-77</t>
  </si>
  <si>
    <t>Việc phát triển tài năng chỉ được thực hiện theo sự vụ.</t>
  </si>
  <si>
    <t>Một số bộ phận, đơn vị chức năng có quy trình phát triển nhân tài.</t>
  </si>
  <si>
    <t>Hầu hết các bộ phận, đơn vị chức năng đều có quy trình phát triển nhân tài hiệu quả.</t>
  </si>
  <si>
    <t>Toàn bộ doanh nghiệp có quy trình phát triển nhân tài hiệu quả.</t>
  </si>
  <si>
    <t>Toàn bộ doanh nghiệp và các đối tác trong hệ sinh thái của doanh nghiệp có một quy trình hiệu quả để phát triển tài năng.</t>
  </si>
  <si>
    <t>5.2.7</t>
  </si>
  <si>
    <t>Học tập trên môi trường số</t>
  </si>
  <si>
    <t>Phát triển e-learning, đề xuất hệ thống LMS; hoàn thành mục tiêu 'bình dân học vụ số'; kế hoạch đào tạo ứng dụng AI (VB 5387/KH-BIDV); đào tạo ESG, bán hàng.</t>
  </si>
  <si>
    <t>Học tập trên môi trường số chỉ được thực hiện theo sự vụ.</t>
  </si>
  <si>
    <t>Học tập trên môi trường số đang mang lại giá trị kinh doanh ở một số bộ phận, đơn vị chức năng.</t>
  </si>
  <si>
    <t>Học tập trên môi trường số đang mang lại giá trị kinh doanh trên hầu hết các bộ phận, đơn vị chức năng.</t>
  </si>
  <si>
    <t>Học tập trên môi trường số đang mang lại giá trị kinh doanh rõ ràng trong doanh nghiệp.</t>
  </si>
  <si>
    <t>Học tập trên môi trường số đang mang lại giá trị kinh doanh rõ ràng trong và trên toàn doanh nghiệp cũng như các đối tác trong hệ sinh thái của doanh nghiệp.</t>
  </si>
  <si>
    <t>5.2.8</t>
  </si>
  <si>
    <t>Sự gắn kết của người lao động</t>
  </si>
  <si>
    <t>Được vinh danh Nơi làm việc tốt nhất VN và châu Á (kết quả khảo sát bên ngoài); Hội nghị người lao động; chế độ phúc lợi.</t>
  </si>
  <si>
    <t>14-15; 76-77</t>
  </si>
  <si>
    <t>Độ tin cậy: Thấp. Chưa thấy chỉ số gắn kết nội bộ của BIDV.</t>
  </si>
  <si>
    <t>Sự gắn kết của người lao động chưa được đo lường.</t>
  </si>
  <si>
    <t>Doanh nghiệp đang bắt đầu đánh giá sự gắn kết của người lao động.</t>
  </si>
  <si>
    <t>Doanh nghiệp thường xuyên đánh giá sự gắn kết của người lao động.</t>
  </si>
  <si>
    <t>Doanh nghiệp thường xuyên đánh giá sự gắn kết của người lao động và tạo ra các kế hoạch hành động nhằm thúc đẩy cải tiến sự gắn kết.</t>
  </si>
  <si>
    <t>Doanh nghiệp và các đối tác trong hệ sinh thái của doanh nghiệp thường xuyên đánh giá - Mức độ gắn kết của người lao động và lập kế hoạch hành động nhằm thúc đẩy cải tiến sự gắn kết.</t>
  </si>
  <si>
    <t>Hỗ trợ môi trường làm việc</t>
  </si>
  <si>
    <t>5.3.1</t>
  </si>
  <si>
    <t>Môi trường thúc đẩy năng suất</t>
  </si>
  <si>
    <t>Lao động Khối NHTM tăng 0,7% trong khi tổng thu nhập hoạt động tăng 10,4%; CIR 32,7%; chủ trương nâng cao năng suất lao động.</t>
  </si>
  <si>
    <t>62-63; 96-97; 98-99</t>
  </si>
  <si>
    <t>Môi trường làm việc chưa chú trọng xem xét thúc đẩy tăng năng suất.</t>
  </si>
  <si>
    <t>Một số bộ phận, đơn vị chức năng đã tạo ra môi trường làm việc thúc đẩy tăng năng suất.</t>
  </si>
  <si>
    <t>Hầu hết các bộ phận, đơn vị chức năng đã tạo ra môi trường làm việc thúc đẩy tăng năng suất.</t>
  </si>
  <si>
    <t>Toàn bộ doanh nghiệp đã tạo ra những môi trường làm việc thúc đẩy tăng năng suất.</t>
  </si>
  <si>
    <t>Toàn bộ doanh nghiệp và các đối tác trong hệ sinh thái của doanh nghiệp đã cùng nhau tạo ra những môi trường làm việc thúc đẩy năng suất một cách tăng.</t>
  </si>
  <si>
    <t>5.3.2</t>
  </si>
  <si>
    <t>Môi trường thúc đẩy đổi mới sáng tạo</t>
  </si>
  <si>
    <t>Mục tiêu 'đẩy mạnh văn hóa đổi mới sáng tạo'; Trung tâm Quản trị dữ liệu và COE AI; đổi mới sáng tạo là động lực tăng trưởng 2026.</t>
  </si>
  <si>
    <t>Nơi làm việc chưa chú trọng xem xét thúc đẩy đổi mới sáng tạo.</t>
  </si>
  <si>
    <t>Một số bộ phận, đơn vị chức năng đã tạo ra môi trường làm việc thúc đẩy đổi mới một cách hiệu quả.</t>
  </si>
  <si>
    <t>Hầu hết các bộ phận, đơn vị chức năng đã tạo ra môi trường làm việc thúc đẩy sự đổi mới một cách hiệu quả.</t>
  </si>
  <si>
    <t>Toàn bộ doanh nghiệp đã tạo ra những môi trường làm việc thúc đẩy sự đổi mới một cách hiệu quả.</t>
  </si>
  <si>
    <t>Toàn bộ doanh nghiệp và các đối tác trong hệ sinh thái của doanh nghiệp đã cùng nhau tạo ra những môi trường làm việc thúc đẩy sự đổi mới một cách hiệu quả.</t>
  </si>
  <si>
    <t>5.3.3</t>
  </si>
  <si>
    <t>Công cụ thúc đẩy tăng năng suất</t>
  </si>
  <si>
    <t>B.One, AskBee, ký số tập trung, quản lý chữ ký - mẫu dấu thông minh (đều đạt Sao Khuê 2025); hệ thống báo cáo quản trị thời gian thực (2026).</t>
  </si>
  <si>
    <t>12-13; 88-89; 102-103</t>
  </si>
  <si>
    <t>Công cụ chưa có sẵn để thúc đẩy tăng năng suất.</t>
  </si>
  <si>
    <t>Một số bộ phận, đơn vị chức năng có một bộ công cụ toàn diện giúp thúc đẩy tăng năng suất.</t>
  </si>
  <si>
    <t>Hầu hết các bộ phận, đơn vị chức năng đều có một bộ công cụ toàn diện giúp thúc đẩy tăng năng suất.</t>
  </si>
  <si>
    <t>Toàn bộ doanh nghiệp có một bộ công cụ toàn diện giúp thúc đẩy tăng năng suất.</t>
  </si>
  <si>
    <t>Toàn bộ doanh nghiệp và các đối tác trong hệ sinh thái của doanh nghiệp có một bộ công cụ toàn diện giúp thúc đẩy năng suất một cách tăng.</t>
  </si>
  <si>
    <t>5.3.4</t>
  </si>
  <si>
    <t>Công cụ thúc đẩy đổi mới sáng tạo</t>
  </si>
  <si>
    <t>COE AI (Tinh hoa AI) thuộc Trung tâm Quản trị dữ liệu nghiên cứu, thử nghiệm sáng kiến AI.</t>
  </si>
  <si>
    <t>Độ tin cậy: Thấp. Chưa thấy công cụ đổi mới sáng tạo dành cho toàn bộ nhân viên.</t>
  </si>
  <si>
    <t>Doanh nghiệp chưa có công cụ để thúc đẩy đổi mới sáng tạo.</t>
  </si>
  <si>
    <t>Một số bộ phận, đơn vị chức năng có một bộ công cụ toàn diện giúp thúc đẩy đổi mới một cách hiệu quả.</t>
  </si>
  <si>
    <t>Hầu hết các bộ phận, đơn vị chức năng đều có một bộ công cụ toàn diện giúp thúc đẩy đổi mới một cách hiệu quả.</t>
  </si>
  <si>
    <t>Toàn bộ doanh nghiệp có một bộ công cụ toàn diện giúp thúc đẩy đổi mới một cách hiệu quả</t>
  </si>
  <si>
    <t>Toàn bộ doanh nghiệp và các đối tác trong hệ sinh thái của mình có một bộ công cụ toàn diện giúp thúc đẩy đổi mới một cách hiệu quả.</t>
  </si>
  <si>
    <t>5.3.5</t>
  </si>
  <si>
    <t>Chính sách thúc đẩy tăng năng suất</t>
  </si>
  <si>
    <t>Chính sách làm việc chưa thúc đẩy tăng năng suất.</t>
  </si>
  <si>
    <t>Một số bộ phận, đơn vị chức năng có các chính sách làm việc giúp thúc đẩy tăng năng suất.</t>
  </si>
  <si>
    <t>Hầu hết các bộ phận, đơn vị chức năng đều duy trì các chính sách làm việc nhằm thúc đẩy tăng năng suất.</t>
  </si>
  <si>
    <t>Toàn bộ doanh nghiệp duy trì các chính sách làm việc thúc đẩy tăng năng suất.</t>
  </si>
  <si>
    <t>Toàn bộ doanh nghiệp và các đối tác trong hệ sinh thái của mình cùng nhau duy trì các chính sách làm việc nhằm thúc đẩy năng suất một cách tăng.</t>
  </si>
  <si>
    <t>5.3.6</t>
  </si>
  <si>
    <t>Chính sách thúc đẩy đổi mới sáng tạo</t>
  </si>
  <si>
    <t>Chiến lược 2026-2030 nêu mục tiêu 'đẩy mạnh văn hóa đổi mới sáng tạo'; phong trào thi đua, học tập số.</t>
  </si>
  <si>
    <t>44-47; 102-103</t>
  </si>
  <si>
    <t>Chính sách làm việc chưa thúc đẩy đổi mới sáng tạo.</t>
  </si>
  <si>
    <t>Một số bộ phận, đơn vị chức năng có các chính sách làm việc giúp thúc đẩy đổi mới một cách hiệu quả.</t>
  </si>
  <si>
    <t>Hầu hết các bộ phận, đơn vị chức năng duy trì các chính sách làm việc nhằm thúc đẩy đổi mới một cách hiệu quả.</t>
  </si>
  <si>
    <t>Toàn bộ doanh nghiệp duy trì các chính sách làm việc thúc đẩy hiệu quả sự đổi mới.</t>
  </si>
  <si>
    <t>Toàn bộ doanh nghiệp và các đối tác trong hệ sinh thái của mình cùng nhau duy trì các chính sách đang hoạt động nhằm thúc đẩy đổi mới một cách hiệu quả.</t>
  </si>
  <si>
    <t>5.3.7</t>
  </si>
  <si>
    <t>Nắm bắt tri thức</t>
  </si>
  <si>
    <t>Nắm bắt tri thức được thực hiện theo sự vụ.</t>
  </si>
  <si>
    <t>Một số bộ phận, đơn vị chức năng nắm bắt tri thức hiệu quả.</t>
  </si>
  <si>
    <t>Hầu hết các bộ phận, đơn vị chức năng nắm bắt tri thức một cách hiệu quả.</t>
  </si>
  <si>
    <t>Doanh nghiệp nắm bắt hiệu quả tri thức trong toàn doanh nghiệp.</t>
  </si>
  <si>
    <t>Doanh nghiệp và các đối tác trong hệ sinh thái của doanh nghiệp nắm bắt tri thức một cách hiệu quả trên toàn hệ sinh thái.</t>
  </si>
  <si>
    <t>5.3.8</t>
  </si>
  <si>
    <t>Chia sẻ tri thức</t>
  </si>
  <si>
    <t>AskBee hỗ trợ tra cứu văn bản; Chương trình Gen AI hỗ trợ tìm kiếm thông tin sản phẩm dịch vụ (Sao Khuê 2025).</t>
  </si>
  <si>
    <t>Chia sẻ tri thức được thực hiện theo sự vụ.</t>
  </si>
  <si>
    <t>Một số bộ phận, đơn vị chức năng chia sẻ tri thức một cách hiệu quả.</t>
  </si>
  <si>
    <t>Hầu hết các bộ phận, đơn vị chức năng chia sẻ tri thức một cách hiệu quả.</t>
  </si>
  <si>
    <t>Doanh nghiệp chia sẻ tri thức một cách hiệu quả trong toàn doanh nghiệp.</t>
  </si>
  <si>
    <t>Doanh nghiệp và các đối tác trong hệ sinh thái của doanh nghiệp chia sẻ tri thức một cách hiệu quả trên toàn hệ sinh thái.</t>
  </si>
  <si>
    <t>Quản trị dữ liệu</t>
  </si>
  <si>
    <t>6.1.1</t>
  </si>
  <si>
    <t>Quản lý siêu dữ liệu</t>
  </si>
  <si>
    <t>Có ít siêu dữ liệu được thực hiện theo sự vụ hoặc chưa xác định.</t>
  </si>
  <si>
    <t>Siêu dữ liệu bắt đầu chuẩn hóa phân loại trong một số bộ phận, đơn vị chức năng.</t>
  </si>
  <si>
    <t>Siêu dữ liệu được định nghĩa sử dụng phân loại theo chức năng.</t>
  </si>
  <si>
    <t>Siêu dữ liệu liên tục được tối ưu hóa trong doanh nghiệp.</t>
  </si>
  <si>
    <t>Siêu dữ liệu liên tục được tối ưu hóa trong doanh nghiệp và các đối tác trong hệ sinh thái của doanh nghiệp.</t>
  </si>
  <si>
    <t>6.1.2</t>
  </si>
  <si>
    <t>Quản lý dữ liệu</t>
  </si>
  <si>
    <t>Việc quản lý dữ liệu chỉ được thực hiện theo sự vụ.</t>
  </si>
  <si>
    <t>Bắt đầu có nhân sự quản lý dữ liệu và chịu trách nhiệm đối với một số tài sản dữ liệu của doanh nghiệp.</t>
  </si>
  <si>
    <t>Có nhân sự quản lý dữ liệu và chịu trách nhiệm đối với hầu hết các tài sản dữ liệu của doanh nghiệp.</t>
  </si>
  <si>
    <t>Có nhân sự quản lý dữ liệu và chịu trách nhiệm hoàn toàn đối với tất cả tài sản dữ liệu của doanh nghiệp.</t>
  </si>
  <si>
    <t>Có nhân sự quản lý dữ liệu và chịu trách nhiệm hoàn toàn đối với tất cả tài sản dữ liệu của doanh nghiệp và các đối tác trong hệ sinh thái của doanh nghiệp.</t>
  </si>
  <si>
    <t>6.1.3</t>
  </si>
  <si>
    <t>Quản lý dữ liệu chủ</t>
  </si>
  <si>
    <t>Quản lý dữ liệu chủ chỉ được thực hiện theo sự vụ.</t>
  </si>
  <si>
    <t>Quản lý dữ liệu chủ đang bắt đầu được áp dụng trong một số bộ phận, đơn vị chức năng.</t>
  </si>
  <si>
    <t>Quản lý dữ liệu chủ được xác định trong các khu vực chức năng.</t>
  </si>
  <si>
    <t>Quản lý dữ liệu chủ được tối ưu hóa nhất quán trong toàn doanh nghiệp.</t>
  </si>
  <si>
    <t>Quản lý dữ liệu chủ được tối ưu hóa nhất quán cho các đối tác trong hệ sinh thái của doanh nghiệp.</t>
  </si>
  <si>
    <t>6.1.4</t>
  </si>
  <si>
    <t>Quản lý bảo mật dữ liệu</t>
  </si>
  <si>
    <t>Bắt buộc định danh sinh trắc học để giao dịch tài chính (BIDV Direct, 07/2025); đào tạo ATTT; theo dõi quy định bảo vệ dữ liệu sinh trắc học.</t>
  </si>
  <si>
    <t>56-57; 88-89</t>
  </si>
  <si>
    <t>Quản lý bảo mật dữ liệu chỉ được thực hiện theo sự vụ.</t>
  </si>
  <si>
    <t>Quản lý bảo mật dữ liệu đang bắt đầu được xác định ở một số bộ phận, đơn vị chức năng.</t>
  </si>
  <si>
    <t>Quản lý bảo mật dữ liệu được tích hợp với yêu cầu quy định về bảo vệ dữ liệu và quyền riêng tư và được sử dụng trong một số khu vực chức năng.</t>
  </si>
  <si>
    <t>Quản lý bảo mật dữ liệu được tích hợp với yêu cầu quy định về bảo vệ dữ liệu và quyền riêng tư và được sử dụng trong toàn doanh nghiệp.</t>
  </si>
  <si>
    <t>Quản lý bảo mật dữ liệu được tích hợp với yêu cầu quy định về bảo vệ dữ liệu và quyền riêng tư, đồng thời được sử dụng giữa các đối tác trong hệ sinh thái của doanh nghiệp.</t>
  </si>
  <si>
    <t>6.1.5</t>
  </si>
  <si>
    <t>Quản lý chính sách dữ liệu</t>
  </si>
  <si>
    <t>Doanh nghiệp chưa có chính sách dữ liệu chính thức.</t>
  </si>
  <si>
    <t>Doanh nghiệp bắt đầu xây dựng chính sách dữ liệu.</t>
  </si>
  <si>
    <t>Chính sách dữ liệu theo bộ phận, đơn vị chức năng được áp dụng.</t>
  </si>
  <si>
    <t>Chính sách dữ liệu chung được sử dụng trong toàn doanh nghiệp.</t>
  </si>
  <si>
    <t>Chính sách dữ liệu chung được sử dụng trên các đối tác trong hệ sinh thái của doanh nghiệp.</t>
  </si>
  <si>
    <t>6.1.6</t>
  </si>
  <si>
    <t>Chiến lược dữ liệu</t>
  </si>
  <si>
    <t>Chiến lược CNTT và chuyển đổi số do UBCNTT tham mưu; kế hoạch AI 2025-2031; 2026 đẩy nhanh dữ liệu lớn, AI; coi dữ liệu và chuyển đổi số là động lực dẫn dắt tăng trưởng.</t>
  </si>
  <si>
    <t>88-89; 102-103; 112-113</t>
  </si>
  <si>
    <t>Độ tin cậy: TB. Chưa có chiến lược dữ liệu riêng được công bố.</t>
  </si>
  <si>
    <t>Doanh nghiệp chưa có chiến lược dữ liệu.</t>
  </si>
  <si>
    <t>Một số bộ phận, đơn vị chức năng có một chiến lược dữ liệu riêng.</t>
  </si>
  <si>
    <t>Mỗi bộ phận, đơn vị chức năng có một chiến lược dữ liệu xác định được sử dụng với kết quả kinh doanh có thể đo lường được.</t>
  </si>
  <si>
    <t>Doanh nghiệp có một chiến lược dữ liệu chung được xác định rõ ràng được doanh nghiệp sử dụng với kết quả kinh doanh có thể đo lường được.</t>
  </si>
  <si>
    <t>Doanh nghiệp có một chiến lược dữ liệu chung được xác định rõ ràng được sử dụng bởi doanh nghiệp và các đối tác trong hệ sinh thái của doanh nghiệp với kết quả kinh doanh có thể đo lường được.</t>
  </si>
  <si>
    <t>6.1.7</t>
  </si>
  <si>
    <t>Tổ chức và vai trò</t>
  </si>
  <si>
    <t>Trung tâm Quản trị dữ liệu với mô hình COE AI; Quy chế quản trị chiến lược số; UBCNTT.</t>
  </si>
  <si>
    <t>Chưa xác định được vai trò cụ thể trong doanh nghiệp để quản lý dữ liệu.</t>
  </si>
  <si>
    <t>Một số vai trò quản lý dữ liệu đã được xác định.</t>
  </si>
  <si>
    <t>Các vai trò quản lý dữ liệu đã được thực hiện.</t>
  </si>
  <si>
    <t>Vai trò quản lý dữ liệu toàn diện được thực hiện trên toàn doanh nghiệp.</t>
  </si>
  <si>
    <t>Các vai trò quản lý dữ liệu toàn diện được triển khai trên toàn doanh nghiệp và các đối tác trong hệ sinh thái của doanh nghiệp.</t>
  </si>
  <si>
    <t>6.1.8</t>
  </si>
  <si>
    <t>Quản lý quyền riêng tư dữ liệu</t>
  </si>
  <si>
    <t>BCTN phân tích Luật Bảo vệ dữ liệu cá nhân 2025 (dữ liệu sinh trắc học, chuyển tiếp từ Nghị định 13/2023).</t>
  </si>
  <si>
    <t>56-57</t>
  </si>
  <si>
    <t>Độ tin cậy: TB. Chưa nêu quy trình tuân thủ chi tiết.</t>
  </si>
  <si>
    <t>Quản lý quyền riêng tư dữ liệu được thực hiện theo sự vụ.</t>
  </si>
  <si>
    <t>Quản lý quyền riêng tư dữ liệu đang bắt đầu được xác định ở một số bộ phận, đơn vị chức năng.</t>
  </si>
  <si>
    <t>Quản lý quyền riêng tư dữ liệu phù hợp với các yêu cầu quy định về bảo vệ dữ liệu và quyền riêng tư và được sử dụng hiệu quả trong một số lĩnh vực chức năng.</t>
  </si>
  <si>
    <t>Quản lý quyền riêng tư dữ liệu phù hợp với các yêu cầu quy định về bảo vệ dữ liệu và quyền riêng tư và được sử dụng hiệu quả trong toàn doanh nghiệp.</t>
  </si>
  <si>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t>
  </si>
  <si>
    <t>Kỹ thuật dữ liệu</t>
  </si>
  <si>
    <t>6.2.1</t>
  </si>
  <si>
    <t>Mô hình hoá dữ liệu</t>
  </si>
  <si>
    <t>Dữ liệu sử dụng bởi doanh nghiệp chưa được xác định và phân loại.</t>
  </si>
  <si>
    <t>Dữ liệu sử dụng bởi một số bộ phận, đơn vị chức năng được xác định và phân loại thành nhiều mô hình dữ liệu.</t>
  </si>
  <si>
    <t>Dữ liệu sử dụng trong hầu hết bộ phận, đơn vị chức năng được xác định và phân loại thành nhiều mô hình dữ liệu.</t>
  </si>
  <si>
    <t>Dữ liệu toàn doanh nghiệp sử dụng được xác định và phân loại thành một mô hình dữ liệu chung.</t>
  </si>
  <si>
    <t>Dữ liệu sử dụng bởi doanh nghiệp và các đối tác trong hệ sinh thái của doanh nghiệp được xác định và phân loại thành một mô hình dữ liệu chung.</t>
  </si>
  <si>
    <t>6.2.2</t>
  </si>
  <si>
    <t>Lưu trữ dữ liệu</t>
  </si>
  <si>
    <t>Lưu trữ, bảo tồn và xóa dữ liệu được thực hiện theo sự vụ.</t>
  </si>
  <si>
    <t>Một số thao tác xóa và lưu trữ dữ liệu được kiểm soát ở một số bộ phận, đơn vị chức năng.</t>
  </si>
  <si>
    <t>Việc xóa và lưu trữ dữ liệu được kiểm soát trong các bộ phận, đơn vị chức năng.</t>
  </si>
  <si>
    <t>Việc xóa và lưu trữ dữ liệu được kiểm soát tối ưu trong toàn doanh nghiệp.</t>
  </si>
  <si>
    <t>Lưu trữ, xóa và lưu trữ được kiểm soát tối ưu trong toàn doanh nghiệp và các đối tác trong hệ sinh thái của doanh nghiệp.</t>
  </si>
  <si>
    <t>6.2.3</t>
  </si>
  <si>
    <t>Khả năng truy cập dữ liệu</t>
  </si>
  <si>
    <t>Khả năng truy cập dữ liệu bị hạn chế.</t>
  </si>
  <si>
    <t>Dữ liệu có thể được truy cập bởi một số bộ phận, đơn vị chức năng.</t>
  </si>
  <si>
    <t>Dữ liệu cần thiết luôn có thể được truy cập bởi các bộ phận, đơn vị chức năng.</t>
  </si>
  <si>
    <t>Dữ liệu cần thiết luôn có thể được truy cập bởi người dùng được doanh nghiệp cấp quyền.</t>
  </si>
  <si>
    <t>Dữ liệu cần thiết luôn có thể được truy cập bởi người dùng được phê duyệt cho doanh nghiệp và đối tác của hệ sinh thái của doanh nghiệp.</t>
  </si>
  <si>
    <t>6.2.4</t>
  </si>
  <si>
    <t>Quản lý vòng đời dữ liệu</t>
  </si>
  <si>
    <t>Quản lý vòng đời dữ liệu được thực hiện theo sự vụ.</t>
  </si>
  <si>
    <t>Quản lý vòng đời dữ liệu được áp dụng ở một số bộ phận, đơn vị chức năng.</t>
  </si>
  <si>
    <t>Quản lý vòng đời dữ liệu được áp dụng nhất quán trong các bộ phận, đơn vị chức năng.</t>
  </si>
  <si>
    <t>Quản lý vòng đời dữ liệu được áp dụng nhất quán trong toàn doanh nghiệp.</t>
  </si>
  <si>
    <t>Quản lý vòng đời dữ liệu được áp dụng nhất quán trong toàn doanh nghiệp và các đối tác trong hệ sinh thái của doanh nghiệp.</t>
  </si>
  <si>
    <t>6.2.5</t>
  </si>
  <si>
    <t>Thu thập dữ liệu</t>
  </si>
  <si>
    <t>Dữ liệu được thu thập được thực hiện theo sự vụ.</t>
  </si>
  <si>
    <t>Việc thu thập dữ liệu được thực hiện nhất quán ở một số bộ phận, đơn vị chức năng.</t>
  </si>
  <si>
    <t>Thu thập dữ liệu được tối ưu hóa trong các bộ phận, đơn vị chức năng.</t>
  </si>
  <si>
    <t>Thu thập dữ liệu được tối ưu hóa trên toàn doanh nghiệp.</t>
  </si>
  <si>
    <t>Việc thu thập dữ liệu được tối ưu hóa trên toàn doanh nghiệp và các đối tác trong hệ sinh thái.</t>
  </si>
  <si>
    <t>6.2.6</t>
  </si>
  <si>
    <t>Đảm bảo tính toàn vẹn dữ liệu</t>
  </si>
  <si>
    <t>Đảm bảo tính toàn vẹn dữ liệu được thực hiện theo sự vụ.</t>
  </si>
  <si>
    <t>Tính toàn vẹn dữ liệu được đảm bảo ở một số bộ phận, đơn vị chức năng.</t>
  </si>
  <si>
    <t>Tính toàn vẹn dữ liệu được đảm bảo trên hầu hết các bộ phận, đơn vị chức năng.</t>
  </si>
  <si>
    <t>Tính toàn vẹn dữ liệu được đảm bảo trên toàn doanh nghiệp.</t>
  </si>
  <si>
    <t>Tính toàn vẹn của dữ liệu được đảm bảo trong toàn doanh nghiệp và các đối tác trong hệ sinh thái.</t>
  </si>
  <si>
    <t>6.2.7</t>
  </si>
  <si>
    <t>Trực quan hóa dữ liệu</t>
  </si>
  <si>
    <t>Dữ liệu được trình bày theo sự vụ.</t>
  </si>
  <si>
    <t>Dữ liệu được trình bày ở một số bộ phận, đơn vị chức năng.</t>
  </si>
  <si>
    <t>Dữ liệu được trình bày theo cách tối ưu trong các bộ phận, đơn vị chức năng.</t>
  </si>
  <si>
    <t>Dữ liệu được trình bày theo cách tối ưu trong toàn doanh nghiệp.</t>
  </si>
  <si>
    <t>Dữ liệu được trình bày theo cách tối ưu trong doanh nghiệp và các đối tác trong hệ sinh thái.</t>
  </si>
  <si>
    <t>Hiện thực hóa giá trị từ dữ liệu</t>
  </si>
  <si>
    <t>6.3.1</t>
  </si>
  <si>
    <t>Ra quyết định dựa trên dữ liệu</t>
  </si>
  <si>
    <t>Mô hình rủi ro tín dụng/hệ thống báo cáo quản trị thời gian thực; CRM và Daily Dashboard quản trị kết quả kinh doanh; mô hình giám sát tín dụng độc lập tự động.</t>
  </si>
  <si>
    <t>90-91; 98-99; 102-103</t>
  </si>
  <si>
    <t>Các quyết định của doanh nghiệp hiếm khi dựa trên dữ liệu.</t>
  </si>
  <si>
    <t>Một số bộ phận, đơn vị chức năng của doanh nghiệp đưa ra quyết định dựa trên dữ liệu.</t>
  </si>
  <si>
    <t>Hầu hết các quyết định của doanh nghiệp được đưa ra dựa trên dữ liệu cấp bộ phận, đơn vị chức năng.</t>
  </si>
  <si>
    <t>Các quyết định của doanh nghiệp được đưa ra dựa trên dữ liệu từ khắp doanh nghiệp.</t>
  </si>
  <si>
    <t>Các quyết định của doanh nghiệp được đưa ra dựa trên dữ liệu từ khắp doanh nghiệp và các đối tác trong hệ sinh thái của doanh nghiệp.</t>
  </si>
  <si>
    <t>6.3.2</t>
  </si>
  <si>
    <t>Năng lực khoa học dữ liệu</t>
  </si>
  <si>
    <t>COE AI thuộc Trung tâm Quản trị dữ liệu; kế hoạch AI 2025-2031 theo từng Khối; chuẩn hóa mô hình đo lường rủi ro theo thông lệ quốc tế.</t>
  </si>
  <si>
    <t>90-91; 112-113</t>
  </si>
  <si>
    <t>Khả năng khoa học dữ liệu chưa tồn tại.</t>
  </si>
  <si>
    <t>Khả năng khoa học dữ liệu tồn tại với một số bộ phận, đơn vị chức năng.</t>
  </si>
  <si>
    <t>Khả năng khoa học dữ liệu tồn tại trên các bộ phận, đơn vị chức năng.</t>
  </si>
  <si>
    <t>Khả năng Khoa học dữ liệu hiệu quả được tối ưu hóa trong toàn doanh nghiệp.</t>
  </si>
  <si>
    <t>Các năng lực Khoa học dữ liệu hiệu quả được tối ưu hóa trong toàn doanh nghiệp và các đối tác trong hệ sinh thái của doanh nghiệp.</t>
  </si>
  <si>
    <t>6.3.3</t>
  </si>
  <si>
    <t>Khai thác giá trị kinh tế từ dữ liệu</t>
  </si>
  <si>
    <t>Tự làm chủ các dự án trọng điểm làm lợi hàng nghìn tỷ đồng; tài khoản số đẹp cá nhân hóa dựa trên dữ liệu; ứng lương tự động.</t>
  </si>
  <si>
    <t>Độ tin cậy: Thấp. Chưa có số liệu doanh thu từ dữ liệu.</t>
  </si>
  <si>
    <t>Doanh nghiệp chưa tạo ra giá trị đo lường được từ dữ liệu.</t>
  </si>
  <si>
    <t>Doanh nghiệp tạo ra một số giá trị đo lường được từ dữ liệu.</t>
  </si>
  <si>
    <t>Doanh nghiệp tạo ra giá trị đáng kể có thể đo lường từ dữ liệu trong các bộ phận, đơn vị chức năng cụ thể.</t>
  </si>
  <si>
    <t>Doanh nghiệp tạo ra giá trị đáng kể có thể đo lường từ dữ liệu và được tối ưu hóa trong toàn doanh nghiệp.</t>
  </si>
  <si>
    <t>Doanh nghiệp tạo ra giá trị đáng kể có thể đo lường được từ dữ liệu và được tối ưu hóa trên toàn doanh nghiệp và các đối tác trong hệ sinh thái.</t>
  </si>
  <si>
    <t>NPS đạt 83,1%; mục tiêu ESG 2030: NPS nằm trong top 10 thương hiệu có trải nghiệm tốt nhất VN. Chưa thấy chương trình thúc đẩy trung thành cụ thể.</t>
  </si>
  <si>
    <t>BIDV, Báo cáo phát triển bền vững 2025</t>
  </si>
  <si>
    <t>10-11</t>
  </si>
  <si>
    <t>Giá trị cốt lõi (Trí tuệ, Niềm tin, Chính trực, Tận tâm, Năng động); sứ mệnh mang lại lợi ích và tiện ích tốt nhất cho KH.</t>
  </si>
  <si>
    <t xml:space="preserve">BIDV, Báo cáo thường niên 2025 </t>
  </si>
  <si>
    <t>22-23</t>
  </si>
  <si>
    <t>Công khai Điều kiện, điều khoản chung về xử lý và bảo vệ dữ liệu cá nhân trên website; mẫu Thỏa thuận bảo vệ dữ liệu cá nhân. Chưa thấy công cụ KH tự kiểm soát dữ liệu.</t>
  </si>
  <si>
    <t>Số hóa và tiết kiệm chi phí cải thiện CIR (PTBV nêu tác động tối ưu tài chính); hệ thống CNTT 'mang lại giá trị làm lợi to lớn' (chưa định lượng).</t>
  </si>
  <si>
    <t>Kế hoạch ứng dụng AI tổng thể 2025-2031 theo danh mục sáng kiến từng Khối/Ban; nâng cấp liên tục Core Banking Profile, Kondor, ALM.</t>
  </si>
  <si>
    <t>Báo cáo HĐQT trình ĐHĐCĐ 2026 (bidv.com.vn)</t>
  </si>
  <si>
    <t>BIDV, Báo cáo phát triển bền vững 2025; Báo cáo HĐQT trình ĐHĐCĐ 2026 (bidv.com.vn)</t>
  </si>
  <si>
    <t>BIDV, Báo cáo thường niên 2025</t>
  </si>
  <si>
    <t>BIDV, Báo cáo thường niên 2025; Báo cáo HĐQT trình ĐHĐCĐ 2026 (bidv.com.vn)</t>
  </si>
  <si>
    <t>38; 4</t>
  </si>
  <si>
    <t>48-51; 15-16</t>
  </si>
  <si>
    <t>Đảm bảo 100% hệ thống ngân hàng điện tử đáp ứng yêu cầu Thông tư 09 và 50 về an toàn hệ thống thông tin và bảo mật dịch vụ trực tuyến.</t>
  </si>
  <si>
    <t>SOC 24/7, SIEM và SOAR tự động hóa phân tích sự kiện; Threat Intelligence và quản lý bề mặt tấn công; NGFW + WAF; rà quét lỗ hổng hằng quý.</t>
  </si>
  <si>
    <t>Chưa thấy nêu 'cấp độ' theo Luật An toàn thông tin</t>
  </si>
  <si>
    <t>Hoàn thiện BCP và hệ thống cảnh báo, ứng phó cướp ngân hàng, thiên tai; vận hành an toàn thông suốt toàn đơn vị.</t>
  </si>
  <si>
    <t>BIDV tự triển khai hầu hết dự án CNTT trọng điểm đáp ứng nghiệp vụ (B.One, AskBee, BIDV Direct); Ủy ban CNTT chỉ đạo dự án liên Khối.</t>
  </si>
  <si>
    <t>4; 15</t>
  </si>
  <si>
    <t>SOC 24/7 giám sát; KRI và báo cáo định kỳ/đột xuất; Ban Chính sách &amp; Giám sát hệ thống; rà quét lỗ hổng hằng quý.</t>
  </si>
  <si>
    <t>BIDV, Báo cáo phát triển bền vững 2025; BIDV, Báo cáo thường niên 2025</t>
  </si>
  <si>
    <t>80; 85</t>
  </si>
  <si>
    <t>Bảng lương vị trí nhằm nâng năng suất lao động; vị trí bán hàng mới; mô tả công việc và khung KPI mới toàn hệ thống; KPI 4 phương diện kết hợp Agile.</t>
  </si>
  <si>
    <t>Báo cáo HĐQT trình ĐHĐCĐ 2026 (bidv.com.vn); BIDV, Báo cáo phát triển bền vững 2025</t>
  </si>
  <si>
    <t>14-15; 64-65; 73</t>
  </si>
  <si>
    <t>133 chỉ tiêu ESG được quản trị theo quy trình bám GRI/S&amp;P/MSCI; Trung tâm Quản trị dữ liệu (nay có COE AI). Chưa thấy quản lý dữ liệu toàn hàng.</t>
  </si>
  <si>
    <t>10; 57</t>
  </si>
  <si>
    <t>Quy định 6357/QyĐ-BIDV về bảo vệ dữ liệu cá nhân toàn hệ thống; Chương trình hành động triển khai Luật Dữ liệu và Luật Bảo vệ dữ liệu cá nhân.</t>
  </si>
  <si>
    <t>Quy hoạch lại hệ thống lưu trữ dữ liệu tập trung để tăng tốc truy xuất và giảm điện năng tại trung tâm dữ liệu.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</si>
</sst>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sz val="10"/>
      <name val="Arial"/>
      <family val="2"/>
    </font>
    <font>
      <b/>
      <sz val="14"/>
      <color rgb="FF1F3864"/>
      <name val="Arial"/>
      <family val="2"/>
    </font>
    <font>
      <b/>
      <sz val="11"/>
      <name val="Arial"/>
      <family val="2"/>
    </font>
    <font>
      <sz val="11"/>
      <color rgb="FF0000FF"/>
      <name val="Arial"/>
      <family val="2"/>
    </font>
    <font>
      <i/>
      <sz val="9"/>
      <color rgb="FF7F7F7F"/>
      <name val="Arial"/>
      <family val="2"/>
    </font>
    <font>
      <b/>
      <sz val="12"/>
      <color rgb="FF1F3864"/>
      <name val="Arial"/>
      <family val="2"/>
    </font>
    <font>
      <sz val="10"/>
      <name val="Arial"/>
      <family val="2"/>
    </font>
    <font>
      <b/>
      <sz val="11"/>
      <color rgb="FFFFFFFF"/>
      <name val="Arial"/>
      <family val="2"/>
    </font>
    <font>
      <sz val="10"/>
      <color rgb="FF7F7F7F"/>
      <name val="Arial"/>
      <family val="2"/>
    </font>
    <font>
      <b/>
      <sz val="10"/>
      <name val="Arial"/>
      <family val="2"/>
    </font>
    <font>
      <b/>
      <sz val="10"/>
      <color rgb="FFFFFFFF"/>
      <name val="Arial"/>
      <family val="2"/>
    </font>
    <font>
      <sz val="9"/>
      <name val="Arial"/>
      <family val="2"/>
    </font>
  </fonts>
  <fills count="12">
    <fill>
      <patternFill patternType="none"/>
    </fill>
    <fill>
      <patternFill patternType="gray125"/>
    </fill>
    <fill>
      <patternFill patternType="solid">
        <fgColor rgb="FFFFF2CC"/>
        <bgColor rgb="FFFCE4D6"/>
      </patternFill>
    </fill>
    <fill>
      <patternFill patternType="solid">
        <fgColor rgb="FF1F3864"/>
        <bgColor rgb="FF333333"/>
      </patternFill>
    </fill>
    <fill>
      <patternFill patternType="solid">
        <fgColor rgb="FFF2F2F2"/>
        <bgColor rgb="FFEDEDED"/>
      </patternFill>
    </fill>
    <fill>
      <patternFill patternType="solid">
        <fgColor rgb="FFBF8F00"/>
        <bgColor rgb="FF808000"/>
      </patternFill>
    </fill>
    <fill>
      <patternFill patternType="solid">
        <fgColor rgb="FF595959"/>
        <bgColor rgb="FF7F7F7F"/>
      </patternFill>
    </fill>
    <fill>
      <patternFill patternType="solid">
        <fgColor rgb="FFDDEBF7"/>
        <bgColor rgb="FFEDEDED"/>
      </patternFill>
    </fill>
    <fill>
      <patternFill patternType="solid">
        <fgColor rgb="FFE2EFDA"/>
        <bgColor rgb="FFEDEDED"/>
      </patternFill>
    </fill>
    <fill>
      <patternFill patternType="solid">
        <fgColor rgb="FFFCE4D6"/>
        <bgColor rgb="FFFFF2CC"/>
      </patternFill>
    </fill>
    <fill>
      <patternFill patternType="solid">
        <fgColor rgb="FFEDEDED"/>
        <bgColor rgb="FFF2F2F2"/>
      </patternFill>
    </fill>
    <fill>
      <patternFill patternType="solid">
        <fgColor rgb="FFE4DFEC"/>
        <bgColor rgb="FFD9D9D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6">
    <xf numFmtId="0" fontId="0" fillId="0" borderId="0" xfId="0"/>
    <xf numFmtId="0" fontId="7" fillId="0" borderId="0" xfId="0" applyFont="1"/>
    <xf numFmtId="0" fontId="7" fillId="0" borderId="0" xfId="0" applyFont="1" applyAlignment="1">
      <alignment vertical="top" wrapText="1"/>
    </xf>
    <xf numFmtId="0" fontId="2" fillId="0" borderId="0" xfId="0" applyFont="1"/>
    <xf numFmtId="0" fontId="3" fillId="0" borderId="0" xfId="0" applyFont="1"/>
    <xf numFmtId="0" fontId="4" fillId="2" borderId="1" xfId="0" applyFont="1" applyFill="1" applyBorder="1"/>
    <xf numFmtId="0" fontId="5" fillId="0" borderId="0" xfId="0" applyFont="1"/>
    <xf numFmtId="0" fontId="6" fillId="0" borderId="0" xfId="0" applyFont="1"/>
    <xf numFmtId="0" fontId="8" fillId="3" borderId="1" xfId="0" applyFont="1" applyFill="1" applyBorder="1"/>
    <xf numFmtId="0" fontId="9" fillId="0" borderId="1" xfId="0" applyFont="1" applyBorder="1" applyAlignment="1">
      <alignment vertical="top" wrapText="1"/>
    </xf>
    <xf numFmtId="0" fontId="8" fillId="3" borderId="1" xfId="0" applyFont="1" applyFill="1" applyBorder="1" applyAlignment="1">
      <alignment horizontal="center" wrapText="1"/>
    </xf>
    <xf numFmtId="0" fontId="7" fillId="0" borderId="1" xfId="0" applyFont="1" applyBorder="1"/>
    <xf numFmtId="0" fontId="7" fillId="0" borderId="1" xfId="0" applyFont="1" applyBorder="1" applyAlignment="1">
      <alignment horizontal="center"/>
    </xf>
    <xf numFmtId="0" fontId="10" fillId="4" borderId="1" xfId="0" applyFont="1" applyFill="1" applyBorder="1"/>
    <xf numFmtId="0" fontId="10" fillId="4" borderId="1" xfId="0" applyFont="1" applyFill="1" applyBorder="1" applyAlignment="1">
      <alignment horizontal="center"/>
    </xf>
    <xf numFmtId="0" fontId="3" fillId="0" borderId="1" xfId="0" applyFont="1" applyBorder="1" applyAlignment="1">
      <alignment horizontal="center"/>
    </xf>
    <xf numFmtId="0" fontId="11" fillId="3" borderId="1" xfId="0" applyFont="1" applyFill="1" applyBorder="1" applyAlignment="1">
      <alignment horizontal="center" vertical="center" wrapText="1"/>
    </xf>
    <xf numFmtId="0" fontId="11" fillId="5" borderId="1" xfId="0" applyFont="1" applyFill="1" applyBorder="1" applyAlignment="1">
      <alignment horizontal="center" vertical="center" wrapText="1"/>
    </xf>
    <xf numFmtId="0" fontId="11" fillId="6" borderId="1" xfId="0" applyFont="1" applyFill="1" applyBorder="1" applyAlignment="1">
      <alignment horizontal="center" vertical="center" wrapText="1"/>
    </xf>
    <xf numFmtId="0" fontId="7" fillId="7" borderId="1" xfId="0" applyFont="1" applyFill="1" applyBorder="1" applyAlignment="1">
      <alignment vertical="top" wrapText="1"/>
    </xf>
    <xf numFmtId="0" fontId="10" fillId="7" borderId="1" xfId="0" applyFont="1" applyFill="1" applyBorder="1" applyAlignment="1">
      <alignment horizontal="center" vertical="top" wrapText="1"/>
    </xf>
    <xf numFmtId="0" fontId="7" fillId="2" borderId="1" xfId="0" applyFont="1" applyFill="1" applyBorder="1" applyAlignment="1">
      <alignment horizontal="center" vertical="top" wrapText="1"/>
    </xf>
    <xf numFmtId="0" fontId="7" fillId="2" borderId="1" xfId="0" applyFont="1" applyFill="1" applyBorder="1" applyAlignment="1">
      <alignment vertical="top" wrapText="1"/>
    </xf>
    <xf numFmtId="0" fontId="12" fillId="4" borderId="1" xfId="0" applyFont="1" applyFill="1" applyBorder="1" applyAlignment="1">
      <alignment vertical="top" wrapText="1"/>
    </xf>
    <xf numFmtId="0" fontId="7" fillId="8" borderId="1" xfId="0" applyFont="1" applyFill="1" applyBorder="1" applyAlignment="1">
      <alignment vertical="top" wrapText="1"/>
    </xf>
    <xf numFmtId="0" fontId="10" fillId="8" borderId="1" xfId="0" applyFont="1" applyFill="1" applyBorder="1" applyAlignment="1">
      <alignment horizontal="center" vertical="top" wrapText="1"/>
    </xf>
    <xf numFmtId="0" fontId="7" fillId="9" borderId="1" xfId="0" applyFont="1" applyFill="1" applyBorder="1" applyAlignment="1">
      <alignment vertical="top" wrapText="1"/>
    </xf>
    <xf numFmtId="0" fontId="10" fillId="9" borderId="1" xfId="0" applyFont="1" applyFill="1" applyBorder="1" applyAlignment="1">
      <alignment horizontal="center" vertical="top" wrapText="1"/>
    </xf>
    <xf numFmtId="0" fontId="7" fillId="10" borderId="1" xfId="0" applyFont="1" applyFill="1" applyBorder="1" applyAlignment="1">
      <alignment vertical="top" wrapText="1"/>
    </xf>
    <xf numFmtId="0" fontId="10" fillId="10" borderId="1" xfId="0" applyFont="1" applyFill="1" applyBorder="1" applyAlignment="1">
      <alignment horizontal="center" vertical="top" wrapText="1"/>
    </xf>
    <xf numFmtId="0" fontId="10" fillId="2" borderId="1" xfId="0" applyFont="1" applyFill="1" applyBorder="1" applyAlignment="1">
      <alignment horizontal="center" vertical="top" wrapText="1"/>
    </xf>
    <xf numFmtId="0" fontId="7" fillId="11" borderId="1" xfId="0" applyFont="1" applyFill="1" applyBorder="1" applyAlignment="1">
      <alignment vertical="top" wrapText="1"/>
    </xf>
    <xf numFmtId="0" fontId="10" fillId="11" borderId="1" xfId="0" applyFont="1" applyFill="1" applyBorder="1" applyAlignment="1">
      <alignment horizontal="center" vertical="top" wrapText="1"/>
    </xf>
    <xf numFmtId="0" fontId="1" fillId="2" borderId="1" xfId="0" applyFont="1" applyFill="1" applyBorder="1" applyAlignment="1">
      <alignment vertical="top" wrapText="1"/>
    </xf>
    <xf numFmtId="0" fontId="1" fillId="2" borderId="1" xfId="0" applyNumberFormat="1" applyFont="1" applyFill="1" applyBorder="1" applyAlignment="1">
      <alignment horizontal="center" vertical="top" wrapText="1"/>
    </xf>
    <xf numFmtId="0" fontId="1" fillId="2" borderId="1" xfId="0" applyFont="1" applyFill="1" applyBorder="1" applyAlignment="1">
      <alignment horizontal="center" vertical="top" wrapText="1"/>
    </xf>
  </cellXfs>
  <cellStyles count="1">
    <cellStyle name="Normal" xfId="0" builtinId="0"/>
  </cellStyles>
  <dxfs count="3">
    <dxf>
      <fill>
        <patternFill>
          <bgColor rgb="FFD9D9D9"/>
        </patternFill>
      </fill>
    </dxf>
    <dxf>
      <fill>
        <patternFill>
          <bgColor rgb="FFF8CBAD"/>
        </patternFill>
      </fill>
    </dxf>
    <dxf>
      <fill>
        <patternFill>
          <bgColor rgb="FFF8CBA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E2EFDA"/>
      <rgbColor rgb="FFFCE4D6"/>
      <rgbColor rgb="FFE4DFEC"/>
      <rgbColor rgb="FFEDEDED"/>
      <rgbColor rgb="FFCC99FF"/>
      <rgbColor rgb="FFF8CBAD"/>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topLeftCell="A17" zoomScaleNormal="100" workbookViewId="0">
      <selection activeCell="D37" sqref="D37"/>
    </sheetView>
  </sheetViews>
  <sheetFormatPr defaultColWidth="8.6640625" defaultRowHeight="14.4" x14ac:dyDescent="0.3"/>
  <cols>
    <col min="1" max="1" width="30" customWidth="1"/>
    <col min="2" max="5" width="22" customWidth="1"/>
  </cols>
  <sheetData>
    <row r="1" spans="1:6" ht="17.25" customHeight="1" x14ac:dyDescent="0.3">
      <c r="A1" s="3" t="s">
        <v>0</v>
      </c>
    </row>
    <row r="3" spans="1:6" ht="15" customHeight="1" x14ac:dyDescent="0.3">
      <c r="A3" s="4" t="s">
        <v>1</v>
      </c>
      <c r="B3" s="5" t="s">
        <v>2</v>
      </c>
      <c r="C3" s="6" t="s">
        <v>3</v>
      </c>
    </row>
    <row r="4" spans="1:6" ht="15" customHeight="1" x14ac:dyDescent="0.3">
      <c r="A4" s="4" t="s">
        <v>4</v>
      </c>
      <c r="B4" s="5" t="s">
        <v>5</v>
      </c>
    </row>
    <row r="5" spans="1:6" ht="15" customHeight="1" x14ac:dyDescent="0.3">
      <c r="A5" s="4" t="s">
        <v>6</v>
      </c>
      <c r="B5" s="5">
        <v>2025</v>
      </c>
    </row>
    <row r="6" spans="1:6" ht="15" customHeight="1" x14ac:dyDescent="0.3">
      <c r="A6" s="4" t="s">
        <v>7</v>
      </c>
      <c r="B6" s="5" t="s">
        <v>8</v>
      </c>
    </row>
    <row r="8" spans="1:6" ht="15" customHeight="1" x14ac:dyDescent="0.3">
      <c r="A8" s="7" t="s">
        <v>9</v>
      </c>
    </row>
    <row r="9" spans="1:6" ht="30" customHeight="1" x14ac:dyDescent="0.3">
      <c r="A9" s="2" t="s">
        <v>10</v>
      </c>
      <c r="B9" s="2"/>
      <c r="C9" s="2"/>
      <c r="D9" s="2"/>
      <c r="E9" s="2"/>
      <c r="F9" s="2"/>
    </row>
    <row r="10" spans="1:6" ht="30" customHeight="1" x14ac:dyDescent="0.3">
      <c r="A10" s="2" t="s">
        <v>11</v>
      </c>
      <c r="B10" s="2"/>
      <c r="C10" s="2"/>
      <c r="D10" s="2"/>
      <c r="E10" s="2"/>
      <c r="F10" s="2"/>
    </row>
    <row r="11" spans="1:6" ht="30" customHeight="1" x14ac:dyDescent="0.3">
      <c r="A11" s="2" t="s">
        <v>12</v>
      </c>
      <c r="B11" s="2"/>
      <c r="C11" s="2"/>
      <c r="D11" s="2"/>
      <c r="E11" s="2"/>
      <c r="F11" s="2"/>
    </row>
    <row r="12" spans="1:6" ht="30" customHeight="1" x14ac:dyDescent="0.3">
      <c r="A12" s="2" t="s">
        <v>13</v>
      </c>
      <c r="B12" s="2"/>
      <c r="C12" s="2"/>
      <c r="D12" s="2"/>
      <c r="E12" s="2"/>
      <c r="F12" s="2"/>
    </row>
    <row r="13" spans="1:6" ht="30" customHeight="1" x14ac:dyDescent="0.3">
      <c r="A13" s="2" t="s">
        <v>14</v>
      </c>
      <c r="B13" s="2"/>
      <c r="C13" s="2"/>
      <c r="D13" s="2"/>
      <c r="E13" s="2"/>
      <c r="F13" s="2"/>
    </row>
    <row r="14" spans="1:6" ht="30" customHeight="1" x14ac:dyDescent="0.3">
      <c r="A14" s="2" t="s">
        <v>15</v>
      </c>
      <c r="B14" s="2"/>
      <c r="C14" s="2"/>
      <c r="D14" s="2"/>
      <c r="E14" s="2"/>
      <c r="F14" s="2"/>
    </row>
    <row r="15" spans="1:6" ht="30" customHeight="1" x14ac:dyDescent="0.3">
      <c r="A15" s="2" t="s">
        <v>16</v>
      </c>
      <c r="B15" s="2"/>
      <c r="C15" s="2"/>
      <c r="D15" s="2"/>
      <c r="E15" s="2"/>
      <c r="F15" s="2"/>
    </row>
    <row r="16" spans="1:6" ht="30" customHeight="1" x14ac:dyDescent="0.3">
      <c r="A16" s="2" t="s">
        <v>17</v>
      </c>
      <c r="B16" s="2"/>
      <c r="C16" s="2"/>
      <c r="D16" s="2"/>
      <c r="E16" s="2"/>
      <c r="F16" s="2"/>
    </row>
    <row r="17" spans="1:6" ht="30" customHeight="1" x14ac:dyDescent="0.3">
      <c r="A17" s="2" t="s">
        <v>18</v>
      </c>
      <c r="B17" s="2"/>
      <c r="C17" s="2"/>
      <c r="D17" s="2"/>
      <c r="E17" s="2"/>
      <c r="F17" s="2"/>
    </row>
    <row r="19" spans="1:6" ht="15" customHeight="1" x14ac:dyDescent="0.3">
      <c r="A19" s="7" t="s">
        <v>19</v>
      </c>
    </row>
    <row r="20" spans="1:6" ht="15" customHeight="1" x14ac:dyDescent="0.3">
      <c r="A20" s="8" t="s">
        <v>20</v>
      </c>
      <c r="B20" s="8" t="s">
        <v>21</v>
      </c>
      <c r="C20" s="8" t="s">
        <v>22</v>
      </c>
      <c r="D20" s="8" t="s">
        <v>23</v>
      </c>
      <c r="E20" s="8" t="s">
        <v>24</v>
      </c>
      <c r="F20" s="8" t="s">
        <v>25</v>
      </c>
    </row>
    <row r="21" spans="1:6" ht="54.75" customHeight="1" x14ac:dyDescent="0.3">
      <c r="A21" s="9" t="s">
        <v>26</v>
      </c>
      <c r="B21" s="9">
        <v>3</v>
      </c>
      <c r="C21" s="9" t="s">
        <v>27</v>
      </c>
      <c r="D21" s="9" t="s">
        <v>28</v>
      </c>
      <c r="E21" s="9">
        <v>45</v>
      </c>
      <c r="F21" s="9">
        <v>2025</v>
      </c>
    </row>
    <row r="22" spans="1:6" ht="23.25" customHeight="1" x14ac:dyDescent="0.3">
      <c r="A22" s="9" t="s">
        <v>29</v>
      </c>
      <c r="B22" s="9" t="s">
        <v>30</v>
      </c>
      <c r="C22" s="9" t="s">
        <v>31</v>
      </c>
      <c r="D22" s="9"/>
      <c r="E22" s="9"/>
      <c r="F22" s="9"/>
    </row>
    <row r="25" spans="1:6" ht="15" customHeight="1" x14ac:dyDescent="0.3">
      <c r="A25" s="7" t="s">
        <v>32</v>
      </c>
    </row>
    <row r="26" spans="1:6" ht="15" customHeight="1" x14ac:dyDescent="0.3">
      <c r="A26" s="10" t="s">
        <v>33</v>
      </c>
      <c r="B26" s="10" t="s">
        <v>34</v>
      </c>
      <c r="C26" s="10" t="s">
        <v>35</v>
      </c>
      <c r="D26" s="10" t="s">
        <v>30</v>
      </c>
      <c r="E26" s="10" t="s">
        <v>36</v>
      </c>
    </row>
    <row r="27" spans="1:6" ht="15" customHeight="1" x14ac:dyDescent="0.3">
      <c r="A27" s="11" t="s">
        <v>37</v>
      </c>
      <c r="B27" s="12">
        <f>COUNTIF('Chấm điểm'!$A$2:$A$141,A27)</f>
        <v>25</v>
      </c>
      <c r="C27" s="12">
        <f>COUNTIFS('Chấm điểm'!$A$2:$A$141,A27,'Chấm điểm'!$E$2:$E$141,"&gt;=1",'Chấm điểm'!$E$2:$E$141,"&lt;=5")</f>
        <v>24</v>
      </c>
      <c r="D27" s="12">
        <f>COUNTIFS('Chấm điểm'!$A$2:$A$141,A27,'Chấm điểm'!$E$2:$E$141,"N/A")</f>
        <v>1</v>
      </c>
      <c r="E27" s="12">
        <f t="shared" ref="E27:E32" si="0">B27-C27-D27</f>
        <v>0</v>
      </c>
    </row>
    <row r="28" spans="1:6" ht="15" customHeight="1" x14ac:dyDescent="0.3">
      <c r="A28" s="11" t="s">
        <v>38</v>
      </c>
      <c r="B28" s="12">
        <f>COUNTIF('Chấm điểm'!$A$2:$A$141,A28)</f>
        <v>24</v>
      </c>
      <c r="C28" s="12">
        <f>COUNTIFS('Chấm điểm'!$A$2:$A$141,A28,'Chấm điểm'!$E$2:$E$141,"&gt;=1",'Chấm điểm'!$E$2:$E$141,"&lt;=5")</f>
        <v>23</v>
      </c>
      <c r="D28" s="12">
        <f>COUNTIFS('Chấm điểm'!$A$2:$A$141,A28,'Chấm điểm'!$E$2:$E$141,"N/A")</f>
        <v>1</v>
      </c>
      <c r="E28" s="12">
        <f t="shared" si="0"/>
        <v>0</v>
      </c>
    </row>
    <row r="29" spans="1:6" ht="15" customHeight="1" x14ac:dyDescent="0.3">
      <c r="A29" s="11" t="s">
        <v>39</v>
      </c>
      <c r="B29" s="12">
        <f>COUNTIF('Chấm điểm'!$A$2:$A$141,A29)</f>
        <v>29</v>
      </c>
      <c r="C29" s="12">
        <f>COUNTIFS('Chấm điểm'!$A$2:$A$141,A29,'Chấm điểm'!$E$2:$E$141,"&gt;=1",'Chấm điểm'!$E$2:$E$141,"&lt;=5")</f>
        <v>19</v>
      </c>
      <c r="D29" s="12">
        <f>COUNTIFS('Chấm điểm'!$A$2:$A$141,A29,'Chấm điểm'!$E$2:$E$141,"N/A")</f>
        <v>10</v>
      </c>
      <c r="E29" s="12">
        <f t="shared" si="0"/>
        <v>0</v>
      </c>
    </row>
    <row r="30" spans="1:6" ht="15" customHeight="1" x14ac:dyDescent="0.3">
      <c r="A30" s="11" t="s">
        <v>40</v>
      </c>
      <c r="B30" s="12">
        <f>COUNTIF('Chấm điểm'!$A$2:$A$141,A30)</f>
        <v>22</v>
      </c>
      <c r="C30" s="12">
        <f>COUNTIFS('Chấm điểm'!$A$2:$A$141,A30,'Chấm điểm'!$E$2:$E$141,"&gt;=1",'Chấm điểm'!$E$2:$E$141,"&lt;=5")</f>
        <v>14</v>
      </c>
      <c r="D30" s="12">
        <f>COUNTIFS('Chấm điểm'!$A$2:$A$141,A30,'Chấm điểm'!$E$2:$E$141,"N/A")</f>
        <v>8</v>
      </c>
      <c r="E30" s="12">
        <f t="shared" si="0"/>
        <v>0</v>
      </c>
    </row>
    <row r="31" spans="1:6" ht="15" customHeight="1" x14ac:dyDescent="0.3">
      <c r="A31" s="11" t="s">
        <v>41</v>
      </c>
      <c r="B31" s="12">
        <f>COUNTIF('Chấm điểm'!$A$2:$A$141,A31)</f>
        <v>22</v>
      </c>
      <c r="C31" s="12">
        <f>COUNTIFS('Chấm điểm'!$A$2:$A$141,A31,'Chấm điểm'!$E$2:$E$141,"&gt;=1",'Chấm điểm'!$E$2:$E$141,"&lt;=5")</f>
        <v>19</v>
      </c>
      <c r="D31" s="12">
        <f>COUNTIFS('Chấm điểm'!$A$2:$A$141,A31,'Chấm điểm'!$E$2:$E$141,"N/A")</f>
        <v>3</v>
      </c>
      <c r="E31" s="12">
        <f t="shared" si="0"/>
        <v>0</v>
      </c>
    </row>
    <row r="32" spans="1:6" ht="15" customHeight="1" x14ac:dyDescent="0.3">
      <c r="A32" s="11" t="s">
        <v>42</v>
      </c>
      <c r="B32" s="12">
        <f>COUNTIF('Chấm điểm'!$A$2:$A$141,A32)</f>
        <v>18</v>
      </c>
      <c r="C32" s="12">
        <f>COUNTIFS('Chấm điểm'!$A$2:$A$141,A32,'Chấm điểm'!$E$2:$E$141,"&gt;=1",'Chấm điểm'!$E$2:$E$141,"&lt;=5")</f>
        <v>10</v>
      </c>
      <c r="D32" s="12">
        <f>COUNTIFS('Chấm điểm'!$A$2:$A$141,A32,'Chấm điểm'!$E$2:$E$141,"N/A")</f>
        <v>8</v>
      </c>
      <c r="E32" s="12">
        <f t="shared" si="0"/>
        <v>0</v>
      </c>
    </row>
    <row r="33" spans="1:5" ht="15" customHeight="1" x14ac:dyDescent="0.3">
      <c r="A33" s="13" t="s">
        <v>43</v>
      </c>
      <c r="B33" s="14">
        <f>SUM(B27:B32)</f>
        <v>140</v>
      </c>
      <c r="C33" s="14">
        <f>SUM(C27:C32)</f>
        <v>109</v>
      </c>
      <c r="D33" s="14">
        <f>SUM(D27:D32)</f>
        <v>31</v>
      </c>
      <c r="E33" s="14">
        <f>SUM(E27:E32)</f>
        <v>0</v>
      </c>
    </row>
    <row r="35" spans="1:5" ht="15" customHeight="1" x14ac:dyDescent="0.3">
      <c r="A35" s="1" t="s">
        <v>44</v>
      </c>
      <c r="B35" s="1"/>
      <c r="C35" s="1"/>
      <c r="D35" s="15">
        <f>COUNTA('Chấm điểm'!$E$2:$E$141)-COUNT('Chấm điểm'!$E$2:$E$141)-COUNTIF('Chấm điểm'!$E$2:$E$141,"N/A")+COUNT('Chấm điểm'!$E$2:$E$141)-COUNTIFS('Chấm điểm'!$E$2:$E$141,"&gt;=1",'Chấm điểm'!$E$2:$E$141,"&lt;=5")</f>
        <v>0</v>
      </c>
    </row>
    <row r="36" spans="1:5" ht="15" customHeight="1" x14ac:dyDescent="0.3">
      <c r="A36" s="1" t="s">
        <v>45</v>
      </c>
      <c r="B36" s="1"/>
      <c r="C36" s="1"/>
      <c r="D36" s="15">
        <f>SUMPRODUCT(ISNUMBER('Chấm điểm'!$E$2:$E$141)*('Chấm điểm'!$F$2:$F$141=""))</f>
        <v>0</v>
      </c>
    </row>
    <row r="37" spans="1:5" ht="15" customHeight="1" x14ac:dyDescent="0.3">
      <c r="A37" s="1" t="s">
        <v>46</v>
      </c>
      <c r="B37" s="1"/>
      <c r="C37" s="1"/>
      <c r="D37" s="15">
        <f>SUMPRODUCT(ISNUMBER('Chấm điểm'!$E$2:$E$141)*('Chấm điểm'!$G$2:$G$141=""))</f>
        <v>0</v>
      </c>
    </row>
    <row r="38" spans="1:5" ht="15" customHeight="1" x14ac:dyDescent="0.3">
      <c r="A38" s="6" t="s">
        <v>47</v>
      </c>
    </row>
  </sheetData>
  <mergeCells count="12">
    <mergeCell ref="A36:C36"/>
    <mergeCell ref="A37:C37"/>
    <mergeCell ref="A14:F14"/>
    <mergeCell ref="A15:F15"/>
    <mergeCell ref="A16:F16"/>
    <mergeCell ref="A17:F17"/>
    <mergeCell ref="A35:C35"/>
    <mergeCell ref="A9:F9"/>
    <mergeCell ref="A10:F10"/>
    <mergeCell ref="A11:F11"/>
    <mergeCell ref="A12:F12"/>
    <mergeCell ref="A13:F13"/>
  </mergeCells>
  <conditionalFormatting sqref="D35:D37">
    <cfRule type="cellIs" dxfId="2" priority="2" operator="greaterThan">
      <formula>0</formula>
    </cfRule>
  </conditionalFormatting>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8F00"/>
  </sheetPr>
  <dimension ref="A1:O141"/>
  <sheetViews>
    <sheetView zoomScaleNormal="100" workbookViewId="0">
      <pane xSplit="4" ySplit="1" topLeftCell="F131" activePane="bottomRight" state="frozen"/>
      <selection pane="topRight" activeCell="E1" sqref="E1"/>
      <selection pane="bottomLeft" activeCell="A2" sqref="A2"/>
      <selection pane="bottomRight" activeCell="H135" sqref="H135"/>
    </sheetView>
  </sheetViews>
  <sheetFormatPr defaultColWidth="8.6640625" defaultRowHeight="14.4" x14ac:dyDescent="0.3"/>
  <cols>
    <col min="1" max="1" width="22" customWidth="1"/>
    <col min="2" max="2" width="28" customWidth="1"/>
    <col min="3" max="3" width="8" customWidth="1"/>
    <col min="4" max="4" width="30" customWidth="1"/>
    <col min="5" max="5" width="9" customWidth="1"/>
    <col min="6" max="6" width="55" customWidth="1"/>
    <col min="7" max="7" width="38" customWidth="1"/>
    <col min="8" max="8" width="9" customWidth="1"/>
    <col min="9" max="9" width="8" customWidth="1"/>
    <col min="10" max="10" width="25" customWidth="1"/>
    <col min="11" max="15" width="38" customWidth="1"/>
  </cols>
  <sheetData>
    <row r="1" spans="1:15" ht="27.75" customHeight="1" x14ac:dyDescent="0.3">
      <c r="A1" s="16" t="s">
        <v>33</v>
      </c>
      <c r="B1" s="16" t="s">
        <v>48</v>
      </c>
      <c r="C1" s="16" t="s">
        <v>20</v>
      </c>
      <c r="D1" s="16" t="s">
        <v>49</v>
      </c>
      <c r="E1" s="17" t="s">
        <v>21</v>
      </c>
      <c r="F1" s="17" t="s">
        <v>22</v>
      </c>
      <c r="G1" s="17" t="s">
        <v>23</v>
      </c>
      <c r="H1" s="17" t="s">
        <v>24</v>
      </c>
      <c r="I1" s="17" t="s">
        <v>25</v>
      </c>
      <c r="J1" s="17" t="s">
        <v>50</v>
      </c>
      <c r="K1" s="18" t="s">
        <v>51</v>
      </c>
      <c r="L1" s="18" t="s">
        <v>52</v>
      </c>
      <c r="M1" s="18" t="s">
        <v>53</v>
      </c>
      <c r="N1" s="18" t="s">
        <v>54</v>
      </c>
      <c r="O1" s="18" t="s">
        <v>55</v>
      </c>
    </row>
    <row r="2" spans="1:15" ht="75" customHeight="1" x14ac:dyDescent="0.3">
      <c r="A2" s="19" t="s">
        <v>37</v>
      </c>
      <c r="B2" s="19" t="s">
        <v>56</v>
      </c>
      <c r="C2" s="20" t="s">
        <v>26</v>
      </c>
      <c r="D2" s="19" t="s">
        <v>57</v>
      </c>
      <c r="E2" s="21">
        <v>3</v>
      </c>
      <c r="F2" s="22" t="s">
        <v>58</v>
      </c>
      <c r="G2" s="22" t="s">
        <v>59</v>
      </c>
      <c r="H2" s="21" t="s">
        <v>60</v>
      </c>
      <c r="I2" s="21">
        <v>2025</v>
      </c>
      <c r="J2" s="22" t="s">
        <v>61</v>
      </c>
      <c r="K2" s="23" t="s">
        <v>62</v>
      </c>
      <c r="L2" s="23" t="s">
        <v>63</v>
      </c>
      <c r="M2" s="23" t="s">
        <v>64</v>
      </c>
      <c r="N2" s="23" t="s">
        <v>65</v>
      </c>
      <c r="O2" s="23" t="s">
        <v>66</v>
      </c>
    </row>
    <row r="3" spans="1:15" ht="75" customHeight="1" x14ac:dyDescent="0.3">
      <c r="A3" s="19" t="s">
        <v>37</v>
      </c>
      <c r="B3" s="19" t="s">
        <v>56</v>
      </c>
      <c r="C3" s="20" t="s">
        <v>29</v>
      </c>
      <c r="D3" s="19" t="s">
        <v>67</v>
      </c>
      <c r="E3" s="21">
        <v>3</v>
      </c>
      <c r="F3" s="22" t="s">
        <v>68</v>
      </c>
      <c r="G3" s="22" t="s">
        <v>59</v>
      </c>
      <c r="H3" s="21" t="s">
        <v>69</v>
      </c>
      <c r="I3" s="21">
        <v>2025</v>
      </c>
      <c r="J3" s="22" t="s">
        <v>70</v>
      </c>
      <c r="K3" s="23" t="s">
        <v>71</v>
      </c>
      <c r="L3" s="23" t="s">
        <v>72</v>
      </c>
      <c r="M3" s="23" t="s">
        <v>73</v>
      </c>
      <c r="N3" s="23" t="s">
        <v>74</v>
      </c>
      <c r="O3" s="23" t="s">
        <v>75</v>
      </c>
    </row>
    <row r="4" spans="1:15" ht="75" customHeight="1" x14ac:dyDescent="0.3">
      <c r="A4" s="19" t="s">
        <v>37</v>
      </c>
      <c r="B4" s="19" t="s">
        <v>56</v>
      </c>
      <c r="C4" s="20" t="s">
        <v>76</v>
      </c>
      <c r="D4" s="19" t="s">
        <v>77</v>
      </c>
      <c r="E4" s="21">
        <v>3</v>
      </c>
      <c r="F4" s="22" t="s">
        <v>78</v>
      </c>
      <c r="G4" s="22" t="s">
        <v>59</v>
      </c>
      <c r="H4" s="21" t="s">
        <v>79</v>
      </c>
      <c r="I4" s="21">
        <v>2025</v>
      </c>
      <c r="J4" s="22" t="s">
        <v>80</v>
      </c>
      <c r="K4" s="23" t="s">
        <v>81</v>
      </c>
      <c r="L4" s="23" t="s">
        <v>82</v>
      </c>
      <c r="M4" s="23" t="s">
        <v>83</v>
      </c>
      <c r="N4" s="23" t="s">
        <v>84</v>
      </c>
      <c r="O4" s="23" t="s">
        <v>85</v>
      </c>
    </row>
    <row r="5" spans="1:15" ht="75" customHeight="1" x14ac:dyDescent="0.3">
      <c r="A5" s="19" t="s">
        <v>37</v>
      </c>
      <c r="B5" s="19" t="s">
        <v>56</v>
      </c>
      <c r="C5" s="20" t="s">
        <v>86</v>
      </c>
      <c r="D5" s="19" t="s">
        <v>87</v>
      </c>
      <c r="E5" s="21">
        <v>3</v>
      </c>
      <c r="F5" s="22" t="s">
        <v>88</v>
      </c>
      <c r="G5" s="22" t="s">
        <v>59</v>
      </c>
      <c r="H5" s="21" t="s">
        <v>69</v>
      </c>
      <c r="I5" s="21">
        <v>2025</v>
      </c>
      <c r="J5" s="22" t="s">
        <v>89</v>
      </c>
      <c r="K5" s="23" t="s">
        <v>90</v>
      </c>
      <c r="L5" s="23" t="s">
        <v>91</v>
      </c>
      <c r="M5" s="23" t="s">
        <v>92</v>
      </c>
      <c r="N5" s="23" t="s">
        <v>93</v>
      </c>
      <c r="O5" s="23" t="s">
        <v>94</v>
      </c>
    </row>
    <row r="6" spans="1:15" ht="75" customHeight="1" x14ac:dyDescent="0.3">
      <c r="A6" s="19" t="s">
        <v>37</v>
      </c>
      <c r="B6" s="19" t="s">
        <v>56</v>
      </c>
      <c r="C6" s="20" t="s">
        <v>95</v>
      </c>
      <c r="D6" s="19" t="s">
        <v>96</v>
      </c>
      <c r="E6" s="21">
        <v>3</v>
      </c>
      <c r="F6" s="22" t="s">
        <v>97</v>
      </c>
      <c r="G6" s="22" t="s">
        <v>98</v>
      </c>
      <c r="H6" s="21" t="s">
        <v>99</v>
      </c>
      <c r="I6" s="21">
        <v>2025</v>
      </c>
      <c r="J6" s="22" t="s">
        <v>100</v>
      </c>
      <c r="K6" s="23" t="s">
        <v>101</v>
      </c>
      <c r="L6" s="23" t="s">
        <v>102</v>
      </c>
      <c r="M6" s="23" t="s">
        <v>103</v>
      </c>
      <c r="N6" s="23" t="s">
        <v>104</v>
      </c>
      <c r="O6" s="23" t="s">
        <v>105</v>
      </c>
    </row>
    <row r="7" spans="1:15" ht="75" customHeight="1" x14ac:dyDescent="0.3">
      <c r="A7" s="19" t="s">
        <v>37</v>
      </c>
      <c r="B7" s="19" t="s">
        <v>56</v>
      </c>
      <c r="C7" s="20" t="s">
        <v>106</v>
      </c>
      <c r="D7" s="19" t="s">
        <v>107</v>
      </c>
      <c r="E7" s="21">
        <v>3</v>
      </c>
      <c r="F7" s="22" t="s">
        <v>108</v>
      </c>
      <c r="G7" s="22" t="s">
        <v>109</v>
      </c>
      <c r="H7" s="21" t="s">
        <v>110</v>
      </c>
      <c r="I7" s="21">
        <v>2025</v>
      </c>
      <c r="J7" s="22" t="s">
        <v>111</v>
      </c>
      <c r="K7" s="23" t="s">
        <v>112</v>
      </c>
      <c r="L7" s="23" t="s">
        <v>113</v>
      </c>
      <c r="M7" s="23" t="s">
        <v>114</v>
      </c>
      <c r="N7" s="23" t="s">
        <v>115</v>
      </c>
      <c r="O7" s="23" t="s">
        <v>116</v>
      </c>
    </row>
    <row r="8" spans="1:15" ht="75" customHeight="1" x14ac:dyDescent="0.3">
      <c r="A8" s="19" t="s">
        <v>37</v>
      </c>
      <c r="B8" s="19" t="s">
        <v>56</v>
      </c>
      <c r="C8" s="20" t="s">
        <v>117</v>
      </c>
      <c r="D8" s="19" t="s">
        <v>118</v>
      </c>
      <c r="E8" s="21">
        <v>3</v>
      </c>
      <c r="F8" s="22" t="s">
        <v>119</v>
      </c>
      <c r="G8" s="22" t="s">
        <v>120</v>
      </c>
      <c r="H8" s="21" t="s">
        <v>99</v>
      </c>
      <c r="I8" s="21">
        <v>2025</v>
      </c>
      <c r="J8" s="22" t="s">
        <v>80</v>
      </c>
      <c r="K8" s="23" t="s">
        <v>121</v>
      </c>
      <c r="L8" s="23" t="s">
        <v>122</v>
      </c>
      <c r="M8" s="23" t="s">
        <v>123</v>
      </c>
      <c r="N8" s="23" t="s">
        <v>124</v>
      </c>
      <c r="O8" s="23" t="s">
        <v>125</v>
      </c>
    </row>
    <row r="9" spans="1:15" ht="75" customHeight="1" x14ac:dyDescent="0.3">
      <c r="A9" s="19" t="s">
        <v>37</v>
      </c>
      <c r="B9" s="19" t="s">
        <v>56</v>
      </c>
      <c r="C9" s="20" t="s">
        <v>126</v>
      </c>
      <c r="D9" s="19" t="s">
        <v>127</v>
      </c>
      <c r="E9" s="21">
        <v>2</v>
      </c>
      <c r="F9" s="22" t="s">
        <v>128</v>
      </c>
      <c r="G9" s="22" t="s">
        <v>98</v>
      </c>
      <c r="H9" s="21" t="s">
        <v>129</v>
      </c>
      <c r="I9" s="21">
        <v>2025</v>
      </c>
      <c r="J9" s="22" t="s">
        <v>130</v>
      </c>
      <c r="K9" s="23" t="s">
        <v>131</v>
      </c>
      <c r="L9" s="23" t="s">
        <v>132</v>
      </c>
      <c r="M9" s="23" t="s">
        <v>133</v>
      </c>
      <c r="N9" s="23" t="s">
        <v>134</v>
      </c>
      <c r="O9" s="23" t="s">
        <v>135</v>
      </c>
    </row>
    <row r="10" spans="1:15" ht="75" customHeight="1" x14ac:dyDescent="0.3">
      <c r="A10" s="19" t="s">
        <v>37</v>
      </c>
      <c r="B10" s="19" t="s">
        <v>56</v>
      </c>
      <c r="C10" s="20" t="s">
        <v>136</v>
      </c>
      <c r="D10" s="19" t="s">
        <v>137</v>
      </c>
      <c r="E10" s="21">
        <v>2</v>
      </c>
      <c r="F10" s="33" t="s">
        <v>1261</v>
      </c>
      <c r="G10" s="33" t="s">
        <v>1262</v>
      </c>
      <c r="H10" s="34" t="s">
        <v>1263</v>
      </c>
      <c r="I10" s="21">
        <v>2025</v>
      </c>
      <c r="J10" s="22"/>
      <c r="K10" s="23" t="s">
        <v>138</v>
      </c>
      <c r="L10" s="23" t="s">
        <v>139</v>
      </c>
      <c r="M10" s="23" t="s">
        <v>140</v>
      </c>
      <c r="N10" s="23" t="s">
        <v>141</v>
      </c>
      <c r="O10" s="23" t="s">
        <v>142</v>
      </c>
    </row>
    <row r="11" spans="1:15" ht="75" customHeight="1" x14ac:dyDescent="0.3">
      <c r="A11" s="19" t="s">
        <v>37</v>
      </c>
      <c r="B11" s="19" t="s">
        <v>143</v>
      </c>
      <c r="C11" s="20" t="s">
        <v>144</v>
      </c>
      <c r="D11" s="19" t="s">
        <v>145</v>
      </c>
      <c r="E11" s="21">
        <v>4</v>
      </c>
      <c r="F11" s="22" t="s">
        <v>146</v>
      </c>
      <c r="G11" s="22" t="s">
        <v>98</v>
      </c>
      <c r="H11" s="21" t="s">
        <v>147</v>
      </c>
      <c r="I11" s="21">
        <v>2025</v>
      </c>
      <c r="J11" s="22" t="s">
        <v>148</v>
      </c>
      <c r="K11" s="23" t="s">
        <v>149</v>
      </c>
      <c r="L11" s="23" t="s">
        <v>150</v>
      </c>
      <c r="M11" s="23" t="s">
        <v>151</v>
      </c>
      <c r="N11" s="23" t="s">
        <v>152</v>
      </c>
      <c r="O11" s="23" t="s">
        <v>153</v>
      </c>
    </row>
    <row r="12" spans="1:15" ht="75" customHeight="1" x14ac:dyDescent="0.3">
      <c r="A12" s="19" t="s">
        <v>37</v>
      </c>
      <c r="B12" s="19" t="s">
        <v>143</v>
      </c>
      <c r="C12" s="20" t="s">
        <v>154</v>
      </c>
      <c r="D12" s="19" t="s">
        <v>155</v>
      </c>
      <c r="E12" s="21">
        <v>3</v>
      </c>
      <c r="F12" s="22" t="s">
        <v>156</v>
      </c>
      <c r="G12" s="22" t="s">
        <v>98</v>
      </c>
      <c r="H12" s="21" t="s">
        <v>69</v>
      </c>
      <c r="I12" s="21">
        <v>2025</v>
      </c>
      <c r="J12" s="22" t="s">
        <v>80</v>
      </c>
      <c r="K12" s="23" t="s">
        <v>157</v>
      </c>
      <c r="L12" s="23" t="s">
        <v>158</v>
      </c>
      <c r="M12" s="23" t="s">
        <v>159</v>
      </c>
      <c r="N12" s="23" t="s">
        <v>160</v>
      </c>
      <c r="O12" s="23" t="s">
        <v>161</v>
      </c>
    </row>
    <row r="13" spans="1:15" ht="75" customHeight="1" x14ac:dyDescent="0.3">
      <c r="A13" s="19" t="s">
        <v>37</v>
      </c>
      <c r="B13" s="19" t="s">
        <v>143</v>
      </c>
      <c r="C13" s="20" t="s">
        <v>162</v>
      </c>
      <c r="D13" s="19" t="s">
        <v>163</v>
      </c>
      <c r="E13" s="21" t="s">
        <v>30</v>
      </c>
      <c r="F13" s="22" t="s">
        <v>31</v>
      </c>
      <c r="G13" s="22"/>
      <c r="H13" s="21"/>
      <c r="I13" s="21"/>
      <c r="J13" s="22" t="s">
        <v>164</v>
      </c>
      <c r="K13" s="23" t="s">
        <v>165</v>
      </c>
      <c r="L13" s="23" t="s">
        <v>166</v>
      </c>
      <c r="M13" s="23" t="s">
        <v>167</v>
      </c>
      <c r="N13" s="23" t="s">
        <v>168</v>
      </c>
      <c r="O13" s="23" t="s">
        <v>169</v>
      </c>
    </row>
    <row r="14" spans="1:15" ht="75" customHeight="1" x14ac:dyDescent="0.3">
      <c r="A14" s="19" t="s">
        <v>37</v>
      </c>
      <c r="B14" s="19" t="s">
        <v>143</v>
      </c>
      <c r="C14" s="20" t="s">
        <v>170</v>
      </c>
      <c r="D14" s="19" t="s">
        <v>171</v>
      </c>
      <c r="E14" s="21">
        <v>4</v>
      </c>
      <c r="F14" s="22" t="s">
        <v>172</v>
      </c>
      <c r="G14" s="22" t="s">
        <v>173</v>
      </c>
      <c r="H14" s="21" t="s">
        <v>174</v>
      </c>
      <c r="I14" s="21">
        <v>2025</v>
      </c>
      <c r="J14" s="22" t="s">
        <v>80</v>
      </c>
      <c r="K14" s="23" t="s">
        <v>175</v>
      </c>
      <c r="L14" s="23" t="s">
        <v>176</v>
      </c>
      <c r="M14" s="23" t="s">
        <v>177</v>
      </c>
      <c r="N14" s="23" t="s">
        <v>178</v>
      </c>
      <c r="O14" s="23" t="s">
        <v>179</v>
      </c>
    </row>
    <row r="15" spans="1:15" ht="75" customHeight="1" x14ac:dyDescent="0.3">
      <c r="A15" s="19" t="s">
        <v>37</v>
      </c>
      <c r="B15" s="19" t="s">
        <v>143</v>
      </c>
      <c r="C15" s="20" t="s">
        <v>180</v>
      </c>
      <c r="D15" s="19" t="s">
        <v>181</v>
      </c>
      <c r="E15" s="21">
        <v>3</v>
      </c>
      <c r="F15" s="22" t="s">
        <v>182</v>
      </c>
      <c r="G15" s="22" t="s">
        <v>59</v>
      </c>
      <c r="H15" s="21" t="s">
        <v>79</v>
      </c>
      <c r="I15" s="21">
        <v>2025</v>
      </c>
      <c r="J15" s="22" t="s">
        <v>80</v>
      </c>
      <c r="K15" s="23" t="s">
        <v>183</v>
      </c>
      <c r="L15" s="23" t="s">
        <v>184</v>
      </c>
      <c r="M15" s="23" t="s">
        <v>185</v>
      </c>
      <c r="N15" s="23" t="s">
        <v>186</v>
      </c>
      <c r="O15" s="23" t="s">
        <v>187</v>
      </c>
    </row>
    <row r="16" spans="1:15" ht="75" customHeight="1" x14ac:dyDescent="0.3">
      <c r="A16" s="19" t="s">
        <v>37</v>
      </c>
      <c r="B16" s="19" t="s">
        <v>143</v>
      </c>
      <c r="C16" s="20" t="s">
        <v>188</v>
      </c>
      <c r="D16" s="19" t="s">
        <v>189</v>
      </c>
      <c r="E16" s="21">
        <v>3</v>
      </c>
      <c r="F16" s="22" t="s">
        <v>190</v>
      </c>
      <c r="G16" s="22" t="s">
        <v>98</v>
      </c>
      <c r="H16" s="21" t="s">
        <v>99</v>
      </c>
      <c r="I16" s="21">
        <v>2025</v>
      </c>
      <c r="J16" s="22" t="s">
        <v>191</v>
      </c>
      <c r="K16" s="23" t="s">
        <v>192</v>
      </c>
      <c r="L16" s="23" t="s">
        <v>193</v>
      </c>
      <c r="M16" s="23" t="s">
        <v>194</v>
      </c>
      <c r="N16" s="23" t="s">
        <v>195</v>
      </c>
      <c r="O16" s="23" t="s">
        <v>196</v>
      </c>
    </row>
    <row r="17" spans="1:15" ht="75" customHeight="1" x14ac:dyDescent="0.3">
      <c r="A17" s="19" t="s">
        <v>37</v>
      </c>
      <c r="B17" s="19" t="s">
        <v>143</v>
      </c>
      <c r="C17" s="20" t="s">
        <v>197</v>
      </c>
      <c r="D17" s="19" t="s">
        <v>198</v>
      </c>
      <c r="E17" s="21">
        <v>3</v>
      </c>
      <c r="F17" s="22" t="s">
        <v>199</v>
      </c>
      <c r="G17" s="22" t="s">
        <v>98</v>
      </c>
      <c r="H17" s="21" t="s">
        <v>99</v>
      </c>
      <c r="I17" s="21">
        <v>2025</v>
      </c>
      <c r="J17" s="22" t="s">
        <v>200</v>
      </c>
      <c r="K17" s="23" t="s">
        <v>201</v>
      </c>
      <c r="L17" s="23" t="s">
        <v>202</v>
      </c>
      <c r="M17" s="23" t="s">
        <v>203</v>
      </c>
      <c r="N17" s="23" t="s">
        <v>204</v>
      </c>
      <c r="O17" s="23" t="s">
        <v>205</v>
      </c>
    </row>
    <row r="18" spans="1:15" ht="75" customHeight="1" x14ac:dyDescent="0.3">
      <c r="A18" s="19" t="s">
        <v>37</v>
      </c>
      <c r="B18" s="19" t="s">
        <v>143</v>
      </c>
      <c r="C18" s="20" t="s">
        <v>206</v>
      </c>
      <c r="D18" s="19" t="s">
        <v>207</v>
      </c>
      <c r="E18" s="21">
        <v>3</v>
      </c>
      <c r="F18" s="22" t="s">
        <v>208</v>
      </c>
      <c r="G18" s="22" t="s">
        <v>98</v>
      </c>
      <c r="H18" s="21" t="s">
        <v>99</v>
      </c>
      <c r="I18" s="21">
        <v>2025</v>
      </c>
      <c r="J18" s="22" t="s">
        <v>209</v>
      </c>
      <c r="K18" s="23" t="s">
        <v>210</v>
      </c>
      <c r="L18" s="23" t="s">
        <v>211</v>
      </c>
      <c r="M18" s="23" t="s">
        <v>212</v>
      </c>
      <c r="N18" s="23" t="s">
        <v>213</v>
      </c>
      <c r="O18" s="23" t="s">
        <v>214</v>
      </c>
    </row>
    <row r="19" spans="1:15" ht="75" customHeight="1" x14ac:dyDescent="0.3">
      <c r="A19" s="19" t="s">
        <v>37</v>
      </c>
      <c r="B19" s="19" t="s">
        <v>215</v>
      </c>
      <c r="C19" s="20" t="s">
        <v>216</v>
      </c>
      <c r="D19" s="19" t="s">
        <v>217</v>
      </c>
      <c r="E19" s="21">
        <v>3</v>
      </c>
      <c r="F19" s="22" t="s">
        <v>218</v>
      </c>
      <c r="G19" s="22" t="s">
        <v>98</v>
      </c>
      <c r="H19" s="21" t="s">
        <v>219</v>
      </c>
      <c r="I19" s="21">
        <v>2025</v>
      </c>
      <c r="J19" s="22" t="s">
        <v>80</v>
      </c>
      <c r="K19" s="23" t="s">
        <v>220</v>
      </c>
      <c r="L19" s="23" t="s">
        <v>221</v>
      </c>
      <c r="M19" s="23" t="s">
        <v>222</v>
      </c>
      <c r="N19" s="23" t="s">
        <v>223</v>
      </c>
      <c r="O19" s="23" t="s">
        <v>224</v>
      </c>
    </row>
    <row r="20" spans="1:15" ht="75" customHeight="1" x14ac:dyDescent="0.3">
      <c r="A20" s="19" t="s">
        <v>37</v>
      </c>
      <c r="B20" s="19" t="s">
        <v>215</v>
      </c>
      <c r="C20" s="20" t="s">
        <v>225</v>
      </c>
      <c r="D20" s="19" t="s">
        <v>226</v>
      </c>
      <c r="E20" s="21">
        <v>2</v>
      </c>
      <c r="F20" s="22" t="s">
        <v>227</v>
      </c>
      <c r="G20" s="22" t="s">
        <v>228</v>
      </c>
      <c r="H20" s="21" t="s">
        <v>229</v>
      </c>
      <c r="I20" s="21">
        <v>2024</v>
      </c>
      <c r="J20" s="22" t="s">
        <v>230</v>
      </c>
      <c r="K20" s="23" t="s">
        <v>231</v>
      </c>
      <c r="L20" s="23" t="s">
        <v>232</v>
      </c>
      <c r="M20" s="23" t="s">
        <v>233</v>
      </c>
      <c r="N20" s="23" t="s">
        <v>234</v>
      </c>
      <c r="O20" s="23" t="s">
        <v>235</v>
      </c>
    </row>
    <row r="21" spans="1:15" ht="75" customHeight="1" x14ac:dyDescent="0.3">
      <c r="A21" s="19" t="s">
        <v>37</v>
      </c>
      <c r="B21" s="19" t="s">
        <v>215</v>
      </c>
      <c r="C21" s="20" t="s">
        <v>236</v>
      </c>
      <c r="D21" s="19" t="s">
        <v>237</v>
      </c>
      <c r="E21" s="21">
        <v>3</v>
      </c>
      <c r="F21" s="22" t="s">
        <v>238</v>
      </c>
      <c r="G21" s="22" t="s">
        <v>98</v>
      </c>
      <c r="H21" s="21" t="s">
        <v>69</v>
      </c>
      <c r="I21" s="21">
        <v>2025</v>
      </c>
      <c r="J21" s="22" t="s">
        <v>80</v>
      </c>
      <c r="K21" s="23" t="s">
        <v>239</v>
      </c>
      <c r="L21" s="23" t="s">
        <v>240</v>
      </c>
      <c r="M21" s="23" t="s">
        <v>241</v>
      </c>
      <c r="N21" s="23" t="s">
        <v>242</v>
      </c>
      <c r="O21" s="23" t="s">
        <v>243</v>
      </c>
    </row>
    <row r="22" spans="1:15" ht="75" customHeight="1" x14ac:dyDescent="0.3">
      <c r="A22" s="19" t="s">
        <v>37</v>
      </c>
      <c r="B22" s="19" t="s">
        <v>244</v>
      </c>
      <c r="C22" s="20" t="s">
        <v>245</v>
      </c>
      <c r="D22" s="19" t="s">
        <v>246</v>
      </c>
      <c r="E22" s="21">
        <v>2</v>
      </c>
      <c r="F22" s="33" t="s">
        <v>1264</v>
      </c>
      <c r="G22" s="33" t="s">
        <v>1265</v>
      </c>
      <c r="H22" s="35" t="s">
        <v>1266</v>
      </c>
      <c r="I22" s="21">
        <v>2025</v>
      </c>
      <c r="J22" s="22"/>
      <c r="K22" s="23" t="s">
        <v>247</v>
      </c>
      <c r="L22" s="23" t="s">
        <v>248</v>
      </c>
      <c r="M22" s="23" t="s">
        <v>249</v>
      </c>
      <c r="N22" s="23" t="s">
        <v>250</v>
      </c>
      <c r="O22" s="23" t="s">
        <v>251</v>
      </c>
    </row>
    <row r="23" spans="1:15" ht="75" customHeight="1" x14ac:dyDescent="0.3">
      <c r="A23" s="19" t="s">
        <v>37</v>
      </c>
      <c r="B23" s="19" t="s">
        <v>244</v>
      </c>
      <c r="C23" s="20" t="s">
        <v>252</v>
      </c>
      <c r="D23" s="19" t="s">
        <v>253</v>
      </c>
      <c r="E23" s="21">
        <v>4</v>
      </c>
      <c r="F23" s="22" t="s">
        <v>254</v>
      </c>
      <c r="G23" s="22" t="s">
        <v>98</v>
      </c>
      <c r="H23" s="21" t="s">
        <v>99</v>
      </c>
      <c r="I23" s="21">
        <v>2025</v>
      </c>
      <c r="J23" s="22" t="s">
        <v>148</v>
      </c>
      <c r="K23" s="23" t="s">
        <v>255</v>
      </c>
      <c r="L23" s="23" t="s">
        <v>256</v>
      </c>
      <c r="M23" s="23" t="s">
        <v>257</v>
      </c>
      <c r="N23" s="23" t="s">
        <v>258</v>
      </c>
      <c r="O23" s="23" t="s">
        <v>259</v>
      </c>
    </row>
    <row r="24" spans="1:15" ht="75" customHeight="1" x14ac:dyDescent="0.3">
      <c r="A24" s="19" t="s">
        <v>37</v>
      </c>
      <c r="B24" s="19" t="s">
        <v>244</v>
      </c>
      <c r="C24" s="20" t="s">
        <v>260</v>
      </c>
      <c r="D24" s="19" t="s">
        <v>261</v>
      </c>
      <c r="E24" s="21">
        <v>3</v>
      </c>
      <c r="F24" s="22" t="s">
        <v>262</v>
      </c>
      <c r="G24" s="22" t="s">
        <v>98</v>
      </c>
      <c r="H24" s="21" t="s">
        <v>263</v>
      </c>
      <c r="I24" s="21">
        <v>2025</v>
      </c>
      <c r="J24" s="22" t="s">
        <v>264</v>
      </c>
      <c r="K24" s="23" t="s">
        <v>265</v>
      </c>
      <c r="L24" s="23" t="s">
        <v>266</v>
      </c>
      <c r="M24" s="23" t="s">
        <v>267</v>
      </c>
      <c r="N24" s="23" t="s">
        <v>268</v>
      </c>
      <c r="O24" s="23" t="s">
        <v>269</v>
      </c>
    </row>
    <row r="25" spans="1:15" ht="75" customHeight="1" x14ac:dyDescent="0.3">
      <c r="A25" s="19" t="s">
        <v>37</v>
      </c>
      <c r="B25" s="19" t="s">
        <v>244</v>
      </c>
      <c r="C25" s="20" t="s">
        <v>270</v>
      </c>
      <c r="D25" s="19" t="s">
        <v>271</v>
      </c>
      <c r="E25" s="21">
        <v>2</v>
      </c>
      <c r="F25" s="33" t="s">
        <v>1267</v>
      </c>
      <c r="G25" s="33" t="s">
        <v>1262</v>
      </c>
      <c r="H25" s="21">
        <v>79</v>
      </c>
      <c r="I25" s="21">
        <v>2025</v>
      </c>
      <c r="J25" s="22"/>
      <c r="K25" s="23" t="s">
        <v>272</v>
      </c>
      <c r="L25" s="23" t="s">
        <v>273</v>
      </c>
      <c r="M25" s="23" t="s">
        <v>274</v>
      </c>
      <c r="N25" s="23" t="s">
        <v>275</v>
      </c>
      <c r="O25" s="23" t="s">
        <v>276</v>
      </c>
    </row>
    <row r="26" spans="1:15" ht="75" customHeight="1" x14ac:dyDescent="0.3">
      <c r="A26" s="19" t="s">
        <v>37</v>
      </c>
      <c r="B26" s="19" t="s">
        <v>244</v>
      </c>
      <c r="C26" s="20" t="s">
        <v>277</v>
      </c>
      <c r="D26" s="19" t="s">
        <v>278</v>
      </c>
      <c r="E26" s="21">
        <v>3</v>
      </c>
      <c r="F26" s="22" t="s">
        <v>279</v>
      </c>
      <c r="G26" s="22" t="s">
        <v>280</v>
      </c>
      <c r="H26" s="21" t="s">
        <v>281</v>
      </c>
      <c r="I26" s="21">
        <v>2025</v>
      </c>
      <c r="J26" s="22" t="s">
        <v>80</v>
      </c>
      <c r="K26" s="23" t="s">
        <v>282</v>
      </c>
      <c r="L26" s="23" t="s">
        <v>283</v>
      </c>
      <c r="M26" s="23" t="s">
        <v>284</v>
      </c>
      <c r="N26" s="23" t="s">
        <v>285</v>
      </c>
      <c r="O26" s="23" t="s">
        <v>286</v>
      </c>
    </row>
    <row r="27" spans="1:15" ht="75" customHeight="1" x14ac:dyDescent="0.3">
      <c r="A27" s="24" t="s">
        <v>38</v>
      </c>
      <c r="B27" s="24" t="s">
        <v>287</v>
      </c>
      <c r="C27" s="25" t="s">
        <v>288</v>
      </c>
      <c r="D27" s="24" t="s">
        <v>289</v>
      </c>
      <c r="E27" s="21">
        <v>3</v>
      </c>
      <c r="F27" s="22" t="s">
        <v>290</v>
      </c>
      <c r="G27" s="22" t="s">
        <v>98</v>
      </c>
      <c r="H27" s="21" t="s">
        <v>291</v>
      </c>
      <c r="I27" s="21">
        <v>2025</v>
      </c>
      <c r="J27" s="22" t="s">
        <v>80</v>
      </c>
      <c r="K27" s="23" t="s">
        <v>292</v>
      </c>
      <c r="L27" s="23" t="s">
        <v>293</v>
      </c>
      <c r="M27" s="23" t="s">
        <v>294</v>
      </c>
      <c r="N27" s="23" t="s">
        <v>295</v>
      </c>
      <c r="O27" s="23" t="s">
        <v>296</v>
      </c>
    </row>
    <row r="28" spans="1:15" ht="75" customHeight="1" x14ac:dyDescent="0.3">
      <c r="A28" s="24" t="s">
        <v>38</v>
      </c>
      <c r="B28" s="24" t="s">
        <v>287</v>
      </c>
      <c r="C28" s="25" t="s">
        <v>297</v>
      </c>
      <c r="D28" s="24" t="s">
        <v>298</v>
      </c>
      <c r="E28" s="21">
        <v>3</v>
      </c>
      <c r="F28" s="22" t="s">
        <v>299</v>
      </c>
      <c r="G28" s="22" t="s">
        <v>98</v>
      </c>
      <c r="H28" s="21" t="s">
        <v>300</v>
      </c>
      <c r="I28" s="21">
        <v>2025</v>
      </c>
      <c r="J28" s="22" t="s">
        <v>80</v>
      </c>
      <c r="K28" s="23" t="s">
        <v>301</v>
      </c>
      <c r="L28" s="23" t="s">
        <v>302</v>
      </c>
      <c r="M28" s="23" t="s">
        <v>303</v>
      </c>
      <c r="N28" s="23" t="s">
        <v>304</v>
      </c>
      <c r="O28" s="23" t="s">
        <v>305</v>
      </c>
    </row>
    <row r="29" spans="1:15" ht="75" customHeight="1" x14ac:dyDescent="0.3">
      <c r="A29" s="24" t="s">
        <v>38</v>
      </c>
      <c r="B29" s="24" t="s">
        <v>287</v>
      </c>
      <c r="C29" s="25" t="s">
        <v>306</v>
      </c>
      <c r="D29" s="24" t="s">
        <v>307</v>
      </c>
      <c r="E29" s="21">
        <v>3</v>
      </c>
      <c r="F29" s="22" t="s">
        <v>308</v>
      </c>
      <c r="G29" s="22" t="s">
        <v>98</v>
      </c>
      <c r="H29" s="21" t="s">
        <v>300</v>
      </c>
      <c r="I29" s="21">
        <v>2025</v>
      </c>
      <c r="J29" s="22" t="s">
        <v>80</v>
      </c>
      <c r="K29" s="23" t="s">
        <v>309</v>
      </c>
      <c r="L29" s="23" t="s">
        <v>310</v>
      </c>
      <c r="M29" s="23" t="s">
        <v>311</v>
      </c>
      <c r="N29" s="23" t="s">
        <v>312</v>
      </c>
      <c r="O29" s="23" t="s">
        <v>313</v>
      </c>
    </row>
    <row r="30" spans="1:15" ht="75" customHeight="1" x14ac:dyDescent="0.3">
      <c r="A30" s="24" t="s">
        <v>38</v>
      </c>
      <c r="B30" s="24" t="s">
        <v>287</v>
      </c>
      <c r="C30" s="25" t="s">
        <v>314</v>
      </c>
      <c r="D30" s="24" t="s">
        <v>315</v>
      </c>
      <c r="E30" s="21">
        <v>2</v>
      </c>
      <c r="F30" s="22" t="s">
        <v>316</v>
      </c>
      <c r="G30" s="22" t="s">
        <v>98</v>
      </c>
      <c r="H30" s="21" t="s">
        <v>317</v>
      </c>
      <c r="I30" s="21">
        <v>2025</v>
      </c>
      <c r="J30" s="22" t="s">
        <v>318</v>
      </c>
      <c r="K30" s="23" t="s">
        <v>319</v>
      </c>
      <c r="L30" s="23" t="s">
        <v>320</v>
      </c>
      <c r="M30" s="23" t="s">
        <v>321</v>
      </c>
      <c r="N30" s="23" t="s">
        <v>322</v>
      </c>
      <c r="O30" s="23" t="s">
        <v>323</v>
      </c>
    </row>
    <row r="31" spans="1:15" ht="75" customHeight="1" x14ac:dyDescent="0.3">
      <c r="A31" s="24" t="s">
        <v>38</v>
      </c>
      <c r="B31" s="24" t="s">
        <v>324</v>
      </c>
      <c r="C31" s="25" t="s">
        <v>325</v>
      </c>
      <c r="D31" s="24" t="s">
        <v>326</v>
      </c>
      <c r="E31" s="21">
        <v>3</v>
      </c>
      <c r="F31" s="22" t="s">
        <v>327</v>
      </c>
      <c r="G31" s="22" t="s">
        <v>328</v>
      </c>
      <c r="H31" s="21" t="s">
        <v>329</v>
      </c>
      <c r="I31" s="21">
        <v>2025</v>
      </c>
      <c r="J31" s="22" t="s">
        <v>80</v>
      </c>
      <c r="K31" s="23" t="s">
        <v>330</v>
      </c>
      <c r="L31" s="23" t="s">
        <v>331</v>
      </c>
      <c r="M31" s="23" t="s">
        <v>332</v>
      </c>
      <c r="N31" s="23" t="s">
        <v>333</v>
      </c>
      <c r="O31" s="23" t="s">
        <v>334</v>
      </c>
    </row>
    <row r="32" spans="1:15" ht="75" customHeight="1" x14ac:dyDescent="0.3">
      <c r="A32" s="24" t="s">
        <v>38</v>
      </c>
      <c r="B32" s="24" t="s">
        <v>324</v>
      </c>
      <c r="C32" s="25" t="s">
        <v>335</v>
      </c>
      <c r="D32" s="24" t="s">
        <v>336</v>
      </c>
      <c r="E32" s="21">
        <v>3</v>
      </c>
      <c r="F32" s="22" t="s">
        <v>337</v>
      </c>
      <c r="G32" s="22" t="s">
        <v>338</v>
      </c>
      <c r="H32" s="21" t="s">
        <v>339</v>
      </c>
      <c r="I32" s="21">
        <v>2026</v>
      </c>
      <c r="J32" s="22" t="s">
        <v>80</v>
      </c>
      <c r="K32" s="23" t="s">
        <v>340</v>
      </c>
      <c r="L32" s="23" t="s">
        <v>341</v>
      </c>
      <c r="M32" s="23" t="s">
        <v>342</v>
      </c>
      <c r="N32" s="23" t="s">
        <v>343</v>
      </c>
      <c r="O32" s="23" t="s">
        <v>344</v>
      </c>
    </row>
    <row r="33" spans="1:15" ht="75" customHeight="1" x14ac:dyDescent="0.3">
      <c r="A33" s="24" t="s">
        <v>38</v>
      </c>
      <c r="B33" s="24" t="s">
        <v>324</v>
      </c>
      <c r="C33" s="25" t="s">
        <v>345</v>
      </c>
      <c r="D33" s="24" t="s">
        <v>346</v>
      </c>
      <c r="E33" s="21">
        <v>4</v>
      </c>
      <c r="F33" s="22" t="s">
        <v>347</v>
      </c>
      <c r="G33" s="33" t="s">
        <v>98</v>
      </c>
      <c r="H33" s="21" t="s">
        <v>348</v>
      </c>
      <c r="I33" s="21">
        <v>2025</v>
      </c>
      <c r="J33" s="22" t="s">
        <v>148</v>
      </c>
      <c r="K33" s="23" t="s">
        <v>349</v>
      </c>
      <c r="L33" s="23" t="s">
        <v>350</v>
      </c>
      <c r="M33" s="23" t="s">
        <v>351</v>
      </c>
      <c r="N33" s="23" t="s">
        <v>352</v>
      </c>
      <c r="O33" s="23" t="s">
        <v>353</v>
      </c>
    </row>
    <row r="34" spans="1:15" ht="75" customHeight="1" x14ac:dyDescent="0.3">
      <c r="A34" s="24" t="s">
        <v>38</v>
      </c>
      <c r="B34" s="24" t="s">
        <v>354</v>
      </c>
      <c r="C34" s="25" t="s">
        <v>355</v>
      </c>
      <c r="D34" s="24" t="s">
        <v>356</v>
      </c>
      <c r="E34" s="21">
        <v>3</v>
      </c>
      <c r="F34" s="22" t="s">
        <v>357</v>
      </c>
      <c r="G34" s="22" t="s">
        <v>98</v>
      </c>
      <c r="H34" s="21" t="s">
        <v>358</v>
      </c>
      <c r="I34" s="21">
        <v>2025</v>
      </c>
      <c r="J34" s="22" t="s">
        <v>359</v>
      </c>
      <c r="K34" s="23" t="s">
        <v>360</v>
      </c>
      <c r="L34" s="23" t="s">
        <v>361</v>
      </c>
      <c r="M34" s="23" t="s">
        <v>362</v>
      </c>
      <c r="N34" s="23" t="s">
        <v>363</v>
      </c>
      <c r="O34" s="23" t="s">
        <v>364</v>
      </c>
    </row>
    <row r="35" spans="1:15" ht="75" customHeight="1" x14ac:dyDescent="0.3">
      <c r="A35" s="24" t="s">
        <v>38</v>
      </c>
      <c r="B35" s="24" t="s">
        <v>354</v>
      </c>
      <c r="C35" s="25" t="s">
        <v>365</v>
      </c>
      <c r="D35" s="24" t="s">
        <v>366</v>
      </c>
      <c r="E35" s="21">
        <v>2</v>
      </c>
      <c r="F35" s="33" t="s">
        <v>1268</v>
      </c>
      <c r="G35" s="33" t="s">
        <v>1271</v>
      </c>
      <c r="H35" s="35" t="s">
        <v>1274</v>
      </c>
      <c r="I35" s="21">
        <v>2025</v>
      </c>
      <c r="J35" s="22"/>
      <c r="K35" s="23" t="s">
        <v>367</v>
      </c>
      <c r="L35" s="23" t="s">
        <v>368</v>
      </c>
      <c r="M35" s="23" t="s">
        <v>369</v>
      </c>
      <c r="N35" s="23" t="s">
        <v>370</v>
      </c>
      <c r="O35" s="23" t="s">
        <v>371</v>
      </c>
    </row>
    <row r="36" spans="1:15" ht="75" customHeight="1" x14ac:dyDescent="0.3">
      <c r="A36" s="24" t="s">
        <v>38</v>
      </c>
      <c r="B36" s="24" t="s">
        <v>354</v>
      </c>
      <c r="C36" s="25" t="s">
        <v>372</v>
      </c>
      <c r="D36" s="24" t="s">
        <v>373</v>
      </c>
      <c r="E36" s="21">
        <v>3</v>
      </c>
      <c r="F36" s="33" t="s">
        <v>1269</v>
      </c>
      <c r="G36" s="33" t="s">
        <v>1273</v>
      </c>
      <c r="H36" s="35" t="s">
        <v>1275</v>
      </c>
      <c r="I36" s="21">
        <v>2025</v>
      </c>
      <c r="J36" s="22"/>
      <c r="K36" s="23" t="s">
        <v>374</v>
      </c>
      <c r="L36" s="23" t="s">
        <v>375</v>
      </c>
      <c r="M36" s="23" t="s">
        <v>376</v>
      </c>
      <c r="N36" s="23" t="s">
        <v>377</v>
      </c>
      <c r="O36" s="23" t="s">
        <v>378</v>
      </c>
    </row>
    <row r="37" spans="1:15" ht="75" customHeight="1" x14ac:dyDescent="0.3">
      <c r="A37" s="24" t="s">
        <v>38</v>
      </c>
      <c r="B37" s="24" t="s">
        <v>379</v>
      </c>
      <c r="C37" s="25" t="s">
        <v>380</v>
      </c>
      <c r="D37" s="24" t="s">
        <v>381</v>
      </c>
      <c r="E37" s="21">
        <v>3</v>
      </c>
      <c r="F37" s="22" t="s">
        <v>382</v>
      </c>
      <c r="G37" s="22" t="s">
        <v>98</v>
      </c>
      <c r="H37" s="21" t="s">
        <v>383</v>
      </c>
      <c r="I37" s="21">
        <v>2025</v>
      </c>
      <c r="J37" s="22" t="s">
        <v>80</v>
      </c>
      <c r="K37" s="23" t="s">
        <v>384</v>
      </c>
      <c r="L37" s="23" t="s">
        <v>385</v>
      </c>
      <c r="M37" s="23" t="s">
        <v>386</v>
      </c>
      <c r="N37" s="23" t="s">
        <v>387</v>
      </c>
      <c r="O37" s="23" t="s">
        <v>388</v>
      </c>
    </row>
    <row r="38" spans="1:15" ht="75" customHeight="1" x14ac:dyDescent="0.3">
      <c r="A38" s="24" t="s">
        <v>38</v>
      </c>
      <c r="B38" s="24" t="s">
        <v>379</v>
      </c>
      <c r="C38" s="25" t="s">
        <v>389</v>
      </c>
      <c r="D38" s="24" t="s">
        <v>390</v>
      </c>
      <c r="E38" s="21">
        <v>3</v>
      </c>
      <c r="F38" s="22" t="s">
        <v>391</v>
      </c>
      <c r="G38" s="22" t="s">
        <v>98</v>
      </c>
      <c r="H38" s="21" t="s">
        <v>383</v>
      </c>
      <c r="I38" s="21">
        <v>2025</v>
      </c>
      <c r="J38" s="22" t="s">
        <v>80</v>
      </c>
      <c r="K38" s="23" t="s">
        <v>392</v>
      </c>
      <c r="L38" s="23" t="s">
        <v>393</v>
      </c>
      <c r="M38" s="23" t="s">
        <v>394</v>
      </c>
      <c r="N38" s="23" t="s">
        <v>395</v>
      </c>
      <c r="O38" s="23" t="s">
        <v>396</v>
      </c>
    </row>
    <row r="39" spans="1:15" ht="75" customHeight="1" x14ac:dyDescent="0.3">
      <c r="A39" s="24" t="s">
        <v>38</v>
      </c>
      <c r="B39" s="24" t="s">
        <v>379</v>
      </c>
      <c r="C39" s="25" t="s">
        <v>397</v>
      </c>
      <c r="D39" s="24" t="s">
        <v>398</v>
      </c>
      <c r="E39" s="21" t="s">
        <v>30</v>
      </c>
      <c r="F39" s="22" t="s">
        <v>31</v>
      </c>
      <c r="G39" s="22"/>
      <c r="H39" s="21"/>
      <c r="I39" s="21"/>
      <c r="J39" s="22"/>
      <c r="K39" s="23" t="s">
        <v>399</v>
      </c>
      <c r="L39" s="23" t="s">
        <v>400</v>
      </c>
      <c r="M39" s="23" t="s">
        <v>401</v>
      </c>
      <c r="N39" s="23" t="s">
        <v>402</v>
      </c>
      <c r="O39" s="23" t="s">
        <v>403</v>
      </c>
    </row>
    <row r="40" spans="1:15" ht="75" customHeight="1" x14ac:dyDescent="0.3">
      <c r="A40" s="24" t="s">
        <v>38</v>
      </c>
      <c r="B40" s="24" t="s">
        <v>404</v>
      </c>
      <c r="C40" s="25" t="s">
        <v>405</v>
      </c>
      <c r="D40" s="24" t="s">
        <v>406</v>
      </c>
      <c r="E40" s="21">
        <v>3</v>
      </c>
      <c r="F40" s="22" t="s">
        <v>407</v>
      </c>
      <c r="G40" s="22" t="s">
        <v>98</v>
      </c>
      <c r="H40" s="21" t="s">
        <v>408</v>
      </c>
      <c r="I40" s="21">
        <v>2025</v>
      </c>
      <c r="J40" s="22" t="s">
        <v>80</v>
      </c>
      <c r="K40" s="23" t="s">
        <v>409</v>
      </c>
      <c r="L40" s="23" t="s">
        <v>410</v>
      </c>
      <c r="M40" s="23" t="s">
        <v>411</v>
      </c>
      <c r="N40" s="23" t="s">
        <v>412</v>
      </c>
      <c r="O40" s="23" t="s">
        <v>413</v>
      </c>
    </row>
    <row r="41" spans="1:15" ht="75" customHeight="1" x14ac:dyDescent="0.3">
      <c r="A41" s="24" t="s">
        <v>38</v>
      </c>
      <c r="B41" s="24" t="s">
        <v>404</v>
      </c>
      <c r="C41" s="25" t="s">
        <v>414</v>
      </c>
      <c r="D41" s="24" t="s">
        <v>415</v>
      </c>
      <c r="E41" s="21">
        <v>4</v>
      </c>
      <c r="F41" s="22" t="s">
        <v>416</v>
      </c>
      <c r="G41" s="22" t="s">
        <v>98</v>
      </c>
      <c r="H41" s="21" t="s">
        <v>417</v>
      </c>
      <c r="I41" s="21">
        <v>2025</v>
      </c>
      <c r="J41" s="22" t="s">
        <v>148</v>
      </c>
      <c r="K41" s="23" t="s">
        <v>418</v>
      </c>
      <c r="L41" s="23" t="s">
        <v>419</v>
      </c>
      <c r="M41" s="23" t="s">
        <v>420</v>
      </c>
      <c r="N41" s="23" t="s">
        <v>421</v>
      </c>
      <c r="O41" s="23" t="s">
        <v>422</v>
      </c>
    </row>
    <row r="42" spans="1:15" ht="75" customHeight="1" x14ac:dyDescent="0.3">
      <c r="A42" s="24" t="s">
        <v>38</v>
      </c>
      <c r="B42" s="24" t="s">
        <v>404</v>
      </c>
      <c r="C42" s="25" t="s">
        <v>423</v>
      </c>
      <c r="D42" s="24" t="s">
        <v>424</v>
      </c>
      <c r="E42" s="21">
        <v>4</v>
      </c>
      <c r="F42" s="22" t="s">
        <v>425</v>
      </c>
      <c r="G42" s="22" t="s">
        <v>59</v>
      </c>
      <c r="H42" s="21" t="s">
        <v>426</v>
      </c>
      <c r="I42" s="21">
        <v>2025</v>
      </c>
      <c r="J42" s="22" t="s">
        <v>148</v>
      </c>
      <c r="K42" s="23" t="s">
        <v>427</v>
      </c>
      <c r="L42" s="23" t="s">
        <v>428</v>
      </c>
      <c r="M42" s="23" t="s">
        <v>429</v>
      </c>
      <c r="N42" s="23" t="s">
        <v>430</v>
      </c>
      <c r="O42" s="23" t="s">
        <v>431</v>
      </c>
    </row>
    <row r="43" spans="1:15" ht="75" customHeight="1" x14ac:dyDescent="0.3">
      <c r="A43" s="24" t="s">
        <v>38</v>
      </c>
      <c r="B43" s="24" t="s">
        <v>432</v>
      </c>
      <c r="C43" s="25" t="s">
        <v>433</v>
      </c>
      <c r="D43" s="24" t="s">
        <v>434</v>
      </c>
      <c r="E43" s="21">
        <v>4</v>
      </c>
      <c r="F43" s="22" t="s">
        <v>435</v>
      </c>
      <c r="G43" s="22" t="s">
        <v>98</v>
      </c>
      <c r="H43" s="21" t="s">
        <v>436</v>
      </c>
      <c r="I43" s="21">
        <v>2025</v>
      </c>
      <c r="J43" s="22" t="s">
        <v>148</v>
      </c>
      <c r="K43" s="23" t="s">
        <v>437</v>
      </c>
      <c r="L43" s="23" t="s">
        <v>438</v>
      </c>
      <c r="M43" s="23" t="s">
        <v>439</v>
      </c>
      <c r="N43" s="23" t="s">
        <v>440</v>
      </c>
      <c r="O43" s="23" t="s">
        <v>441</v>
      </c>
    </row>
    <row r="44" spans="1:15" ht="75" customHeight="1" x14ac:dyDescent="0.3">
      <c r="A44" s="24" t="s">
        <v>38</v>
      </c>
      <c r="B44" s="24" t="s">
        <v>432</v>
      </c>
      <c r="C44" s="25" t="s">
        <v>442</v>
      </c>
      <c r="D44" s="24" t="s">
        <v>443</v>
      </c>
      <c r="E44" s="21">
        <v>4</v>
      </c>
      <c r="F44" s="22" t="s">
        <v>444</v>
      </c>
      <c r="G44" s="22" t="s">
        <v>98</v>
      </c>
      <c r="H44" s="21" t="s">
        <v>445</v>
      </c>
      <c r="I44" s="21">
        <v>2025</v>
      </c>
      <c r="J44" s="22" t="s">
        <v>80</v>
      </c>
      <c r="K44" s="23" t="s">
        <v>446</v>
      </c>
      <c r="L44" s="23" t="s">
        <v>447</v>
      </c>
      <c r="M44" s="23" t="s">
        <v>448</v>
      </c>
      <c r="N44" s="23" t="s">
        <v>449</v>
      </c>
      <c r="O44" s="23" t="s">
        <v>450</v>
      </c>
    </row>
    <row r="45" spans="1:15" ht="75" customHeight="1" x14ac:dyDescent="0.3">
      <c r="A45" s="24" t="s">
        <v>38</v>
      </c>
      <c r="B45" s="24" t="s">
        <v>432</v>
      </c>
      <c r="C45" s="25" t="s">
        <v>451</v>
      </c>
      <c r="D45" s="24" t="s">
        <v>452</v>
      </c>
      <c r="E45" s="21">
        <v>4</v>
      </c>
      <c r="F45" s="22" t="s">
        <v>453</v>
      </c>
      <c r="G45" s="22" t="s">
        <v>98</v>
      </c>
      <c r="H45" s="21" t="s">
        <v>454</v>
      </c>
      <c r="I45" s="21">
        <v>2025</v>
      </c>
      <c r="J45" s="22" t="s">
        <v>148</v>
      </c>
      <c r="K45" s="23" t="s">
        <v>455</v>
      </c>
      <c r="L45" s="23" t="s">
        <v>456</v>
      </c>
      <c r="M45" s="23" t="s">
        <v>457</v>
      </c>
      <c r="N45" s="23" t="s">
        <v>458</v>
      </c>
      <c r="O45" s="23" t="s">
        <v>459</v>
      </c>
    </row>
    <row r="46" spans="1:15" ht="75" customHeight="1" x14ac:dyDescent="0.3">
      <c r="A46" s="24" t="s">
        <v>38</v>
      </c>
      <c r="B46" s="24" t="s">
        <v>432</v>
      </c>
      <c r="C46" s="25" t="s">
        <v>460</v>
      </c>
      <c r="D46" s="24" t="s">
        <v>461</v>
      </c>
      <c r="E46" s="21">
        <v>4</v>
      </c>
      <c r="F46" s="22" t="s">
        <v>462</v>
      </c>
      <c r="G46" s="22" t="s">
        <v>98</v>
      </c>
      <c r="H46" s="21" t="s">
        <v>463</v>
      </c>
      <c r="I46" s="21">
        <v>2025</v>
      </c>
      <c r="J46" s="22" t="s">
        <v>148</v>
      </c>
      <c r="K46" s="23" t="s">
        <v>464</v>
      </c>
      <c r="L46" s="23" t="s">
        <v>465</v>
      </c>
      <c r="M46" s="23" t="s">
        <v>466</v>
      </c>
      <c r="N46" s="23" t="s">
        <v>467</v>
      </c>
      <c r="O46" s="23" t="s">
        <v>468</v>
      </c>
    </row>
    <row r="47" spans="1:15" ht="75" customHeight="1" x14ac:dyDescent="0.3">
      <c r="A47" s="24" t="s">
        <v>38</v>
      </c>
      <c r="B47" s="24" t="s">
        <v>432</v>
      </c>
      <c r="C47" s="25" t="s">
        <v>469</v>
      </c>
      <c r="D47" s="24" t="s">
        <v>470</v>
      </c>
      <c r="E47" s="21">
        <v>4</v>
      </c>
      <c r="F47" s="22" t="s">
        <v>471</v>
      </c>
      <c r="G47" s="22" t="s">
        <v>98</v>
      </c>
      <c r="H47" s="21" t="s">
        <v>472</v>
      </c>
      <c r="I47" s="21">
        <v>2025</v>
      </c>
      <c r="J47" s="22" t="s">
        <v>148</v>
      </c>
      <c r="K47" s="23" t="s">
        <v>473</v>
      </c>
      <c r="L47" s="23" t="s">
        <v>474</v>
      </c>
      <c r="M47" s="23" t="s">
        <v>475</v>
      </c>
      <c r="N47" s="23" t="s">
        <v>476</v>
      </c>
      <c r="O47" s="23" t="s">
        <v>477</v>
      </c>
    </row>
    <row r="48" spans="1:15" ht="75" customHeight="1" x14ac:dyDescent="0.3">
      <c r="A48" s="24" t="s">
        <v>38</v>
      </c>
      <c r="B48" s="24" t="s">
        <v>432</v>
      </c>
      <c r="C48" s="25" t="s">
        <v>478</v>
      </c>
      <c r="D48" s="24" t="s">
        <v>479</v>
      </c>
      <c r="E48" s="21">
        <v>4</v>
      </c>
      <c r="F48" s="22" t="s">
        <v>480</v>
      </c>
      <c r="G48" s="22" t="s">
        <v>481</v>
      </c>
      <c r="H48" s="21" t="s">
        <v>482</v>
      </c>
      <c r="I48" s="21">
        <v>2025</v>
      </c>
      <c r="J48" s="22" t="s">
        <v>80</v>
      </c>
      <c r="K48" s="23" t="s">
        <v>483</v>
      </c>
      <c r="L48" s="23" t="s">
        <v>484</v>
      </c>
      <c r="M48" s="23" t="s">
        <v>485</v>
      </c>
      <c r="N48" s="23" t="s">
        <v>486</v>
      </c>
      <c r="O48" s="23" t="s">
        <v>487</v>
      </c>
    </row>
    <row r="49" spans="1:15" ht="75" customHeight="1" x14ac:dyDescent="0.3">
      <c r="A49" s="24" t="s">
        <v>38</v>
      </c>
      <c r="B49" s="24" t="s">
        <v>432</v>
      </c>
      <c r="C49" s="25" t="s">
        <v>488</v>
      </c>
      <c r="D49" s="24" t="s">
        <v>489</v>
      </c>
      <c r="E49" s="21">
        <v>4</v>
      </c>
      <c r="F49" s="22" t="s">
        <v>490</v>
      </c>
      <c r="G49" s="22" t="s">
        <v>491</v>
      </c>
      <c r="H49" s="21" t="s">
        <v>492</v>
      </c>
      <c r="I49" s="21">
        <v>2025</v>
      </c>
      <c r="J49" s="22" t="s">
        <v>148</v>
      </c>
      <c r="K49" s="23" t="s">
        <v>493</v>
      </c>
      <c r="L49" s="23" t="s">
        <v>494</v>
      </c>
      <c r="M49" s="23" t="s">
        <v>495</v>
      </c>
      <c r="N49" s="23" t="s">
        <v>496</v>
      </c>
      <c r="O49" s="23" t="s">
        <v>497</v>
      </c>
    </row>
    <row r="50" spans="1:15" ht="75" customHeight="1" x14ac:dyDescent="0.3">
      <c r="A50" s="24" t="s">
        <v>38</v>
      </c>
      <c r="B50" s="24" t="s">
        <v>432</v>
      </c>
      <c r="C50" s="25" t="s">
        <v>498</v>
      </c>
      <c r="D50" s="24" t="s">
        <v>499</v>
      </c>
      <c r="E50" s="21">
        <v>4</v>
      </c>
      <c r="F50" s="22" t="s">
        <v>500</v>
      </c>
      <c r="G50" s="22" t="s">
        <v>491</v>
      </c>
      <c r="H50" s="21" t="s">
        <v>501</v>
      </c>
      <c r="I50" s="21">
        <v>2025</v>
      </c>
      <c r="J50" s="22" t="s">
        <v>148</v>
      </c>
      <c r="K50" s="23" t="s">
        <v>502</v>
      </c>
      <c r="L50" s="23" t="s">
        <v>503</v>
      </c>
      <c r="M50" s="23" t="s">
        <v>504</v>
      </c>
      <c r="N50" s="23" t="s">
        <v>505</v>
      </c>
      <c r="O50" s="23" t="s">
        <v>506</v>
      </c>
    </row>
    <row r="51" spans="1:15" ht="75" customHeight="1" x14ac:dyDescent="0.3">
      <c r="A51" s="26" t="s">
        <v>39</v>
      </c>
      <c r="B51" s="26" t="s">
        <v>507</v>
      </c>
      <c r="C51" s="27" t="s">
        <v>508</v>
      </c>
      <c r="D51" s="26" t="s">
        <v>509</v>
      </c>
      <c r="E51" s="21">
        <v>4</v>
      </c>
      <c r="F51" s="22" t="s">
        <v>510</v>
      </c>
      <c r="G51" s="22" t="s">
        <v>280</v>
      </c>
      <c r="H51" s="21" t="s">
        <v>511</v>
      </c>
      <c r="I51" s="21">
        <v>2025</v>
      </c>
      <c r="J51" s="22" t="s">
        <v>148</v>
      </c>
      <c r="K51" s="23" t="s">
        <v>512</v>
      </c>
      <c r="L51" s="23" t="s">
        <v>513</v>
      </c>
      <c r="M51" s="23" t="s">
        <v>514</v>
      </c>
      <c r="N51" s="23" t="s">
        <v>515</v>
      </c>
      <c r="O51" s="23" t="s">
        <v>516</v>
      </c>
    </row>
    <row r="52" spans="1:15" ht="75" customHeight="1" x14ac:dyDescent="0.3">
      <c r="A52" s="26" t="s">
        <v>39</v>
      </c>
      <c r="B52" s="26" t="s">
        <v>507</v>
      </c>
      <c r="C52" s="27" t="s">
        <v>517</v>
      </c>
      <c r="D52" s="26" t="s">
        <v>518</v>
      </c>
      <c r="E52" s="21">
        <v>4</v>
      </c>
      <c r="F52" s="22" t="s">
        <v>519</v>
      </c>
      <c r="G52" s="22" t="s">
        <v>491</v>
      </c>
      <c r="H52" s="21" t="s">
        <v>520</v>
      </c>
      <c r="I52" s="21">
        <v>2025</v>
      </c>
      <c r="J52" s="22" t="s">
        <v>521</v>
      </c>
      <c r="K52" s="23" t="s">
        <v>522</v>
      </c>
      <c r="L52" s="23" t="s">
        <v>523</v>
      </c>
      <c r="M52" s="23" t="s">
        <v>524</v>
      </c>
      <c r="N52" s="23" t="s">
        <v>525</v>
      </c>
      <c r="O52" s="23" t="s">
        <v>526</v>
      </c>
    </row>
    <row r="53" spans="1:15" ht="75" customHeight="1" x14ac:dyDescent="0.3">
      <c r="A53" s="26" t="s">
        <v>39</v>
      </c>
      <c r="B53" s="26" t="s">
        <v>507</v>
      </c>
      <c r="C53" s="27" t="s">
        <v>527</v>
      </c>
      <c r="D53" s="26" t="s">
        <v>528</v>
      </c>
      <c r="E53" s="21">
        <v>3</v>
      </c>
      <c r="F53" s="22" t="s">
        <v>529</v>
      </c>
      <c r="G53" s="22" t="s">
        <v>98</v>
      </c>
      <c r="H53" s="21" t="s">
        <v>530</v>
      </c>
      <c r="I53" s="21">
        <v>2025</v>
      </c>
      <c r="J53" s="22" t="s">
        <v>531</v>
      </c>
      <c r="K53" s="23" t="s">
        <v>532</v>
      </c>
      <c r="L53" s="23" t="s">
        <v>533</v>
      </c>
      <c r="M53" s="23" t="s">
        <v>534</v>
      </c>
      <c r="N53" s="23" t="s">
        <v>535</v>
      </c>
      <c r="O53" s="23" t="s">
        <v>536</v>
      </c>
    </row>
    <row r="54" spans="1:15" ht="75" customHeight="1" x14ac:dyDescent="0.3">
      <c r="A54" s="26" t="s">
        <v>39</v>
      </c>
      <c r="B54" s="26" t="s">
        <v>507</v>
      </c>
      <c r="C54" s="27" t="s">
        <v>537</v>
      </c>
      <c r="D54" s="26" t="s">
        <v>538</v>
      </c>
      <c r="E54" s="21">
        <v>2</v>
      </c>
      <c r="F54" s="22" t="s">
        <v>539</v>
      </c>
      <c r="G54" s="22" t="s">
        <v>98</v>
      </c>
      <c r="H54" s="21" t="s">
        <v>501</v>
      </c>
      <c r="I54" s="21">
        <v>2025</v>
      </c>
      <c r="J54" s="22" t="s">
        <v>540</v>
      </c>
      <c r="K54" s="23" t="s">
        <v>541</v>
      </c>
      <c r="L54" s="23" t="s">
        <v>542</v>
      </c>
      <c r="M54" s="23" t="s">
        <v>543</v>
      </c>
      <c r="N54" s="23" t="s">
        <v>544</v>
      </c>
      <c r="O54" s="23" t="s">
        <v>545</v>
      </c>
    </row>
    <row r="55" spans="1:15" ht="75" customHeight="1" x14ac:dyDescent="0.3">
      <c r="A55" s="26" t="s">
        <v>39</v>
      </c>
      <c r="B55" s="26" t="s">
        <v>507</v>
      </c>
      <c r="C55" s="27" t="s">
        <v>546</v>
      </c>
      <c r="D55" s="26" t="s">
        <v>547</v>
      </c>
      <c r="E55" s="21">
        <v>4</v>
      </c>
      <c r="F55" s="22" t="s">
        <v>548</v>
      </c>
      <c r="G55" s="22" t="s">
        <v>98</v>
      </c>
      <c r="H55" s="21" t="s">
        <v>549</v>
      </c>
      <c r="I55" s="21">
        <v>2025</v>
      </c>
      <c r="J55" s="22" t="s">
        <v>148</v>
      </c>
      <c r="K55" s="23" t="s">
        <v>550</v>
      </c>
      <c r="L55" s="23" t="s">
        <v>551</v>
      </c>
      <c r="M55" s="23" t="s">
        <v>552</v>
      </c>
      <c r="N55" s="23" t="s">
        <v>553</v>
      </c>
      <c r="O55" s="23" t="s">
        <v>554</v>
      </c>
    </row>
    <row r="56" spans="1:15" ht="75" customHeight="1" x14ac:dyDescent="0.3">
      <c r="A56" s="26" t="s">
        <v>39</v>
      </c>
      <c r="B56" s="26" t="s">
        <v>555</v>
      </c>
      <c r="C56" s="27" t="s">
        <v>556</v>
      </c>
      <c r="D56" s="26" t="s">
        <v>557</v>
      </c>
      <c r="E56" s="21">
        <v>4</v>
      </c>
      <c r="F56" s="22" t="s">
        <v>558</v>
      </c>
      <c r="G56" s="22" t="s">
        <v>280</v>
      </c>
      <c r="H56" s="21" t="s">
        <v>559</v>
      </c>
      <c r="I56" s="21">
        <v>2025</v>
      </c>
      <c r="J56" s="22" t="s">
        <v>80</v>
      </c>
      <c r="K56" s="23" t="s">
        <v>560</v>
      </c>
      <c r="L56" s="23" t="s">
        <v>561</v>
      </c>
      <c r="M56" s="23" t="s">
        <v>562</v>
      </c>
      <c r="N56" s="23" t="s">
        <v>563</v>
      </c>
      <c r="O56" s="23" t="s">
        <v>564</v>
      </c>
    </row>
    <row r="57" spans="1:15" ht="75" customHeight="1" x14ac:dyDescent="0.3">
      <c r="A57" s="26" t="s">
        <v>39</v>
      </c>
      <c r="B57" s="26" t="s">
        <v>555</v>
      </c>
      <c r="C57" s="27" t="s">
        <v>565</v>
      </c>
      <c r="D57" s="26" t="s">
        <v>566</v>
      </c>
      <c r="E57" s="21">
        <v>3</v>
      </c>
      <c r="F57" s="22" t="s">
        <v>567</v>
      </c>
      <c r="G57" s="22" t="s">
        <v>568</v>
      </c>
      <c r="H57" s="21" t="s">
        <v>339</v>
      </c>
      <c r="I57" s="21">
        <v>2025</v>
      </c>
      <c r="J57" s="22" t="s">
        <v>230</v>
      </c>
      <c r="K57" s="23" t="s">
        <v>569</v>
      </c>
      <c r="L57" s="23" t="s">
        <v>570</v>
      </c>
      <c r="M57" s="23" t="s">
        <v>571</v>
      </c>
      <c r="N57" s="23" t="s">
        <v>572</v>
      </c>
      <c r="O57" s="23" t="s">
        <v>573</v>
      </c>
    </row>
    <row r="58" spans="1:15" ht="75" customHeight="1" x14ac:dyDescent="0.3">
      <c r="A58" s="26" t="s">
        <v>39</v>
      </c>
      <c r="B58" s="26" t="s">
        <v>555</v>
      </c>
      <c r="C58" s="27" t="s">
        <v>574</v>
      </c>
      <c r="D58" s="26" t="s">
        <v>575</v>
      </c>
      <c r="E58" s="21" t="s">
        <v>30</v>
      </c>
      <c r="F58" s="22" t="s">
        <v>31</v>
      </c>
      <c r="G58" s="22"/>
      <c r="H58" s="21"/>
      <c r="I58" s="21"/>
      <c r="J58" s="22"/>
      <c r="K58" s="23" t="s">
        <v>576</v>
      </c>
      <c r="L58" s="23" t="s">
        <v>577</v>
      </c>
      <c r="M58" s="23" t="s">
        <v>578</v>
      </c>
      <c r="N58" s="23" t="s">
        <v>579</v>
      </c>
      <c r="O58" s="23" t="s">
        <v>580</v>
      </c>
    </row>
    <row r="59" spans="1:15" ht="75" customHeight="1" x14ac:dyDescent="0.3">
      <c r="A59" s="26" t="s">
        <v>39</v>
      </c>
      <c r="B59" s="26" t="s">
        <v>555</v>
      </c>
      <c r="C59" s="27" t="s">
        <v>581</v>
      </c>
      <c r="D59" s="26" t="s">
        <v>582</v>
      </c>
      <c r="E59" s="21" t="s">
        <v>30</v>
      </c>
      <c r="F59" s="22" t="s">
        <v>31</v>
      </c>
      <c r="G59" s="22"/>
      <c r="H59" s="21"/>
      <c r="I59" s="21"/>
      <c r="J59" s="22"/>
      <c r="K59" s="23" t="s">
        <v>583</v>
      </c>
      <c r="L59" s="23" t="s">
        <v>584</v>
      </c>
      <c r="M59" s="23" t="s">
        <v>585</v>
      </c>
      <c r="N59" s="23" t="s">
        <v>586</v>
      </c>
      <c r="O59" s="23" t="s">
        <v>587</v>
      </c>
    </row>
    <row r="60" spans="1:15" ht="75" customHeight="1" x14ac:dyDescent="0.3">
      <c r="A60" s="26" t="s">
        <v>39</v>
      </c>
      <c r="B60" s="26" t="s">
        <v>555</v>
      </c>
      <c r="C60" s="27" t="s">
        <v>588</v>
      </c>
      <c r="D60" s="26" t="s">
        <v>589</v>
      </c>
      <c r="E60" s="21">
        <v>3</v>
      </c>
      <c r="F60" s="22" t="s">
        <v>590</v>
      </c>
      <c r="G60" s="22" t="s">
        <v>591</v>
      </c>
      <c r="H60" s="21" t="s">
        <v>339</v>
      </c>
      <c r="I60" s="21">
        <v>2025</v>
      </c>
      <c r="J60" s="22" t="s">
        <v>592</v>
      </c>
      <c r="K60" s="23" t="s">
        <v>593</v>
      </c>
      <c r="L60" s="23" t="s">
        <v>594</v>
      </c>
      <c r="M60" s="23" t="s">
        <v>595</v>
      </c>
      <c r="N60" s="23" t="s">
        <v>596</v>
      </c>
      <c r="O60" s="23" t="s">
        <v>597</v>
      </c>
    </row>
    <row r="61" spans="1:15" ht="75" customHeight="1" x14ac:dyDescent="0.3">
      <c r="A61" s="26" t="s">
        <v>39</v>
      </c>
      <c r="B61" s="26" t="s">
        <v>555</v>
      </c>
      <c r="C61" s="27" t="s">
        <v>598</v>
      </c>
      <c r="D61" s="26" t="s">
        <v>599</v>
      </c>
      <c r="E61" s="21">
        <v>4</v>
      </c>
      <c r="F61" s="22" t="s">
        <v>600</v>
      </c>
      <c r="G61" s="22" t="s">
        <v>601</v>
      </c>
      <c r="H61" s="21" t="s">
        <v>339</v>
      </c>
      <c r="I61" s="21">
        <v>2025</v>
      </c>
      <c r="J61" s="22" t="s">
        <v>602</v>
      </c>
      <c r="K61" s="23" t="s">
        <v>603</v>
      </c>
      <c r="L61" s="23" t="s">
        <v>604</v>
      </c>
      <c r="M61" s="23" t="s">
        <v>605</v>
      </c>
      <c r="N61" s="23" t="s">
        <v>606</v>
      </c>
      <c r="O61" s="23" t="s">
        <v>607</v>
      </c>
    </row>
    <row r="62" spans="1:15" ht="75" customHeight="1" x14ac:dyDescent="0.3">
      <c r="A62" s="26" t="s">
        <v>39</v>
      </c>
      <c r="B62" s="26" t="s">
        <v>555</v>
      </c>
      <c r="C62" s="27" t="s">
        <v>608</v>
      </c>
      <c r="D62" s="26" t="s">
        <v>609</v>
      </c>
      <c r="E62" s="21">
        <v>4</v>
      </c>
      <c r="F62" s="22" t="s">
        <v>610</v>
      </c>
      <c r="G62" s="22" t="s">
        <v>491</v>
      </c>
      <c r="H62" s="21" t="s">
        <v>530</v>
      </c>
      <c r="I62" s="21">
        <v>2025</v>
      </c>
      <c r="J62" s="22" t="s">
        <v>148</v>
      </c>
      <c r="K62" s="23" t="s">
        <v>611</v>
      </c>
      <c r="L62" s="23" t="s">
        <v>612</v>
      </c>
      <c r="M62" s="23" t="s">
        <v>613</v>
      </c>
      <c r="N62" s="23" t="s">
        <v>614</v>
      </c>
      <c r="O62" s="23" t="s">
        <v>615</v>
      </c>
    </row>
    <row r="63" spans="1:15" ht="75" customHeight="1" x14ac:dyDescent="0.3">
      <c r="A63" s="26" t="s">
        <v>39</v>
      </c>
      <c r="B63" s="26" t="s">
        <v>616</v>
      </c>
      <c r="C63" s="27" t="s">
        <v>617</v>
      </c>
      <c r="D63" s="26" t="s">
        <v>618</v>
      </c>
      <c r="E63" s="21">
        <v>3</v>
      </c>
      <c r="F63" s="33" t="s">
        <v>1276</v>
      </c>
      <c r="G63" s="33" t="s">
        <v>1262</v>
      </c>
      <c r="H63" s="21">
        <v>80</v>
      </c>
      <c r="I63" s="21">
        <v>2025</v>
      </c>
      <c r="J63" s="22" t="s">
        <v>1278</v>
      </c>
      <c r="K63" s="23" t="s">
        <v>619</v>
      </c>
      <c r="L63" s="23" t="s">
        <v>620</v>
      </c>
      <c r="M63" s="23" t="s">
        <v>621</v>
      </c>
      <c r="N63" s="23" t="s">
        <v>622</v>
      </c>
      <c r="O63" s="23" t="s">
        <v>623</v>
      </c>
    </row>
    <row r="64" spans="1:15" ht="75" customHeight="1" x14ac:dyDescent="0.3">
      <c r="A64" s="26" t="s">
        <v>39</v>
      </c>
      <c r="B64" s="26" t="s">
        <v>616</v>
      </c>
      <c r="C64" s="27" t="s">
        <v>624</v>
      </c>
      <c r="D64" s="26" t="s">
        <v>625</v>
      </c>
      <c r="E64" s="21">
        <v>4</v>
      </c>
      <c r="F64" s="33" t="s">
        <v>1277</v>
      </c>
      <c r="G64" s="33" t="s">
        <v>1262</v>
      </c>
      <c r="H64" s="21">
        <v>80</v>
      </c>
      <c r="I64" s="21">
        <v>2025</v>
      </c>
      <c r="J64" s="22"/>
      <c r="K64" s="23" t="s">
        <v>626</v>
      </c>
      <c r="L64" s="23" t="s">
        <v>627</v>
      </c>
      <c r="M64" s="23" t="s">
        <v>628</v>
      </c>
      <c r="N64" s="23" t="s">
        <v>629</v>
      </c>
      <c r="O64" s="23" t="s">
        <v>630</v>
      </c>
    </row>
    <row r="65" spans="1:15" ht="75" customHeight="1" x14ac:dyDescent="0.3">
      <c r="A65" s="26" t="s">
        <v>39</v>
      </c>
      <c r="B65" s="26" t="s">
        <v>616</v>
      </c>
      <c r="C65" s="27" t="s">
        <v>631</v>
      </c>
      <c r="D65" s="26" t="s">
        <v>632</v>
      </c>
      <c r="E65" s="21">
        <v>3</v>
      </c>
      <c r="F65" s="33" t="s">
        <v>633</v>
      </c>
      <c r="G65" s="22" t="s">
        <v>98</v>
      </c>
      <c r="H65" s="21" t="s">
        <v>634</v>
      </c>
      <c r="I65" s="21">
        <v>2025</v>
      </c>
      <c r="J65" s="22" t="s">
        <v>635</v>
      </c>
      <c r="K65" s="23" t="s">
        <v>636</v>
      </c>
      <c r="L65" s="23" t="s">
        <v>637</v>
      </c>
      <c r="M65" s="23" t="s">
        <v>638</v>
      </c>
      <c r="N65" s="23" t="s">
        <v>639</v>
      </c>
      <c r="O65" s="23" t="s">
        <v>640</v>
      </c>
    </row>
    <row r="66" spans="1:15" ht="75" customHeight="1" x14ac:dyDescent="0.3">
      <c r="A66" s="26" t="s">
        <v>39</v>
      </c>
      <c r="B66" s="26" t="s">
        <v>616</v>
      </c>
      <c r="C66" s="27" t="s">
        <v>641</v>
      </c>
      <c r="D66" s="26" t="s">
        <v>642</v>
      </c>
      <c r="E66" s="21">
        <v>3</v>
      </c>
      <c r="F66" s="33" t="s">
        <v>1279</v>
      </c>
      <c r="G66" s="33" t="s">
        <v>1272</v>
      </c>
      <c r="H66" s="35" t="s">
        <v>781</v>
      </c>
      <c r="I66" s="21">
        <v>2025</v>
      </c>
      <c r="J66" s="22"/>
      <c r="K66" s="23" t="s">
        <v>643</v>
      </c>
      <c r="L66" s="23" t="s">
        <v>644</v>
      </c>
      <c r="M66" s="23" t="s">
        <v>645</v>
      </c>
      <c r="N66" s="23" t="s">
        <v>646</v>
      </c>
      <c r="O66" s="23" t="s">
        <v>647</v>
      </c>
    </row>
    <row r="67" spans="1:15" ht="75" customHeight="1" x14ac:dyDescent="0.3">
      <c r="A67" s="26" t="s">
        <v>39</v>
      </c>
      <c r="B67" s="26" t="s">
        <v>648</v>
      </c>
      <c r="C67" s="27" t="s">
        <v>649</v>
      </c>
      <c r="D67" s="26" t="s">
        <v>650</v>
      </c>
      <c r="E67" s="21">
        <v>3</v>
      </c>
      <c r="F67" s="22" t="s">
        <v>651</v>
      </c>
      <c r="G67" s="22" t="s">
        <v>59</v>
      </c>
      <c r="H67" s="21" t="s">
        <v>652</v>
      </c>
      <c r="I67" s="21">
        <v>2025</v>
      </c>
      <c r="J67" s="22" t="s">
        <v>653</v>
      </c>
      <c r="K67" s="23" t="s">
        <v>654</v>
      </c>
      <c r="L67" s="23" t="s">
        <v>655</v>
      </c>
      <c r="M67" s="23" t="s">
        <v>656</v>
      </c>
      <c r="N67" s="23" t="s">
        <v>657</v>
      </c>
      <c r="O67" s="23" t="s">
        <v>658</v>
      </c>
    </row>
    <row r="68" spans="1:15" ht="75" customHeight="1" x14ac:dyDescent="0.3">
      <c r="A68" s="26" t="s">
        <v>39</v>
      </c>
      <c r="B68" s="26" t="s">
        <v>648</v>
      </c>
      <c r="C68" s="27" t="s">
        <v>659</v>
      </c>
      <c r="D68" s="26" t="s">
        <v>660</v>
      </c>
      <c r="E68" s="21">
        <v>3</v>
      </c>
      <c r="F68" s="22" t="s">
        <v>661</v>
      </c>
      <c r="G68" s="33" t="s">
        <v>98</v>
      </c>
      <c r="H68" s="21" t="s">
        <v>662</v>
      </c>
      <c r="I68" s="21">
        <v>2025</v>
      </c>
      <c r="J68" s="22" t="s">
        <v>80</v>
      </c>
      <c r="K68" s="23" t="s">
        <v>663</v>
      </c>
      <c r="L68" s="23" t="s">
        <v>664</v>
      </c>
      <c r="M68" s="23" t="s">
        <v>665</v>
      </c>
      <c r="N68" s="23" t="s">
        <v>666</v>
      </c>
      <c r="O68" s="23" t="s">
        <v>667</v>
      </c>
    </row>
    <row r="69" spans="1:15" ht="75" customHeight="1" x14ac:dyDescent="0.3">
      <c r="A69" s="26" t="s">
        <v>39</v>
      </c>
      <c r="B69" s="26" t="s">
        <v>648</v>
      </c>
      <c r="C69" s="27" t="s">
        <v>668</v>
      </c>
      <c r="D69" s="26" t="s">
        <v>669</v>
      </c>
      <c r="E69" s="21" t="s">
        <v>30</v>
      </c>
      <c r="F69" s="22" t="s">
        <v>31</v>
      </c>
      <c r="G69" s="22"/>
      <c r="H69" s="21"/>
      <c r="I69" s="21"/>
      <c r="J69" s="22"/>
      <c r="K69" s="23" t="s">
        <v>670</v>
      </c>
      <c r="L69" s="23" t="s">
        <v>671</v>
      </c>
      <c r="M69" s="23" t="s">
        <v>672</v>
      </c>
      <c r="N69" s="23" t="s">
        <v>673</v>
      </c>
      <c r="O69" s="23" t="s">
        <v>674</v>
      </c>
    </row>
    <row r="70" spans="1:15" ht="75" customHeight="1" x14ac:dyDescent="0.3">
      <c r="A70" s="26" t="s">
        <v>39</v>
      </c>
      <c r="B70" s="26" t="s">
        <v>648</v>
      </c>
      <c r="C70" s="27" t="s">
        <v>675</v>
      </c>
      <c r="D70" s="26" t="s">
        <v>676</v>
      </c>
      <c r="E70" s="21" t="s">
        <v>30</v>
      </c>
      <c r="F70" s="22" t="s">
        <v>31</v>
      </c>
      <c r="G70" s="22"/>
      <c r="H70" s="21"/>
      <c r="I70" s="21"/>
      <c r="J70" s="22"/>
      <c r="K70" s="23" t="s">
        <v>677</v>
      </c>
      <c r="L70" s="23" t="s">
        <v>678</v>
      </c>
      <c r="M70" s="23" t="s">
        <v>679</v>
      </c>
      <c r="N70" s="23" t="s">
        <v>680</v>
      </c>
      <c r="O70" s="23" t="s">
        <v>681</v>
      </c>
    </row>
    <row r="71" spans="1:15" ht="75" customHeight="1" x14ac:dyDescent="0.3">
      <c r="A71" s="26" t="s">
        <v>39</v>
      </c>
      <c r="B71" s="26" t="s">
        <v>682</v>
      </c>
      <c r="C71" s="27" t="s">
        <v>683</v>
      </c>
      <c r="D71" s="26" t="s">
        <v>684</v>
      </c>
      <c r="E71" s="21" t="s">
        <v>30</v>
      </c>
      <c r="F71" s="22" t="s">
        <v>31</v>
      </c>
      <c r="G71" s="22"/>
      <c r="H71" s="21"/>
      <c r="I71" s="21"/>
      <c r="J71" s="22"/>
      <c r="K71" s="23" t="s">
        <v>685</v>
      </c>
      <c r="L71" s="23" t="s">
        <v>686</v>
      </c>
      <c r="M71" s="23" t="s">
        <v>687</v>
      </c>
      <c r="N71" s="23" t="s">
        <v>688</v>
      </c>
      <c r="O71" s="23" t="s">
        <v>689</v>
      </c>
    </row>
    <row r="72" spans="1:15" ht="75" customHeight="1" x14ac:dyDescent="0.3">
      <c r="A72" s="26" t="s">
        <v>39</v>
      </c>
      <c r="B72" s="26" t="s">
        <v>682</v>
      </c>
      <c r="C72" s="27" t="s">
        <v>690</v>
      </c>
      <c r="D72" s="26" t="s">
        <v>691</v>
      </c>
      <c r="E72" s="21" t="s">
        <v>30</v>
      </c>
      <c r="F72" s="22" t="s">
        <v>31</v>
      </c>
      <c r="G72" s="22"/>
      <c r="H72" s="21"/>
      <c r="I72" s="21"/>
      <c r="J72" s="22"/>
      <c r="K72" s="23" t="s">
        <v>692</v>
      </c>
      <c r="L72" s="23" t="s">
        <v>693</v>
      </c>
      <c r="M72" s="23" t="s">
        <v>694</v>
      </c>
      <c r="N72" s="23" t="s">
        <v>695</v>
      </c>
      <c r="O72" s="23" t="s">
        <v>696</v>
      </c>
    </row>
    <row r="73" spans="1:15" ht="75" customHeight="1" x14ac:dyDescent="0.3">
      <c r="A73" s="26" t="s">
        <v>39</v>
      </c>
      <c r="B73" s="26" t="s">
        <v>682</v>
      </c>
      <c r="C73" s="27" t="s">
        <v>697</v>
      </c>
      <c r="D73" s="26" t="s">
        <v>698</v>
      </c>
      <c r="E73" s="21" t="s">
        <v>30</v>
      </c>
      <c r="F73" s="22" t="s">
        <v>31</v>
      </c>
      <c r="G73" s="22"/>
      <c r="H73" s="21"/>
      <c r="I73" s="21"/>
      <c r="J73" s="22"/>
      <c r="K73" s="23" t="s">
        <v>699</v>
      </c>
      <c r="L73" s="23" t="s">
        <v>700</v>
      </c>
      <c r="M73" s="23" t="s">
        <v>701</v>
      </c>
      <c r="N73" s="23" t="s">
        <v>702</v>
      </c>
      <c r="O73" s="23" t="s">
        <v>703</v>
      </c>
    </row>
    <row r="74" spans="1:15" ht="75" customHeight="1" x14ac:dyDescent="0.3">
      <c r="A74" s="26" t="s">
        <v>39</v>
      </c>
      <c r="B74" s="26" t="s">
        <v>682</v>
      </c>
      <c r="C74" s="27" t="s">
        <v>704</v>
      </c>
      <c r="D74" s="26" t="s">
        <v>705</v>
      </c>
      <c r="E74" s="21" t="s">
        <v>30</v>
      </c>
      <c r="F74" s="22" t="s">
        <v>31</v>
      </c>
      <c r="G74" s="22"/>
      <c r="H74" s="21"/>
      <c r="I74" s="21"/>
      <c r="J74" s="22"/>
      <c r="K74" s="23" t="s">
        <v>706</v>
      </c>
      <c r="L74" s="23" t="s">
        <v>707</v>
      </c>
      <c r="M74" s="23" t="s">
        <v>708</v>
      </c>
      <c r="N74" s="23" t="s">
        <v>709</v>
      </c>
      <c r="O74" s="23" t="s">
        <v>710</v>
      </c>
    </row>
    <row r="75" spans="1:15" ht="75" customHeight="1" x14ac:dyDescent="0.3">
      <c r="A75" s="26" t="s">
        <v>39</v>
      </c>
      <c r="B75" s="26" t="s">
        <v>682</v>
      </c>
      <c r="C75" s="27" t="s">
        <v>711</v>
      </c>
      <c r="D75" s="26" t="s">
        <v>712</v>
      </c>
      <c r="E75" s="21">
        <v>3</v>
      </c>
      <c r="F75" s="22" t="s">
        <v>713</v>
      </c>
      <c r="G75" s="22" t="s">
        <v>280</v>
      </c>
      <c r="H75" s="21" t="s">
        <v>714</v>
      </c>
      <c r="I75" s="21">
        <v>2025</v>
      </c>
      <c r="J75" s="22" t="s">
        <v>80</v>
      </c>
      <c r="K75" s="23" t="s">
        <v>715</v>
      </c>
      <c r="L75" s="23" t="s">
        <v>716</v>
      </c>
      <c r="M75" s="23" t="s">
        <v>717</v>
      </c>
      <c r="N75" s="23" t="s">
        <v>718</v>
      </c>
      <c r="O75" s="23" t="s">
        <v>719</v>
      </c>
    </row>
    <row r="76" spans="1:15" ht="75" customHeight="1" x14ac:dyDescent="0.3">
      <c r="A76" s="26" t="s">
        <v>39</v>
      </c>
      <c r="B76" s="26" t="s">
        <v>682</v>
      </c>
      <c r="C76" s="27" t="s">
        <v>720</v>
      </c>
      <c r="D76" s="26" t="s">
        <v>721</v>
      </c>
      <c r="E76" s="21" t="s">
        <v>30</v>
      </c>
      <c r="F76" s="22" t="s">
        <v>31</v>
      </c>
      <c r="G76" s="22"/>
      <c r="H76" s="21"/>
      <c r="I76" s="21"/>
      <c r="J76" s="22"/>
      <c r="K76" s="23" t="s">
        <v>722</v>
      </c>
      <c r="L76" s="23" t="s">
        <v>723</v>
      </c>
      <c r="M76" s="23" t="s">
        <v>724</v>
      </c>
      <c r="N76" s="23" t="s">
        <v>725</v>
      </c>
      <c r="O76" s="23" t="s">
        <v>726</v>
      </c>
    </row>
    <row r="77" spans="1:15" ht="75" customHeight="1" x14ac:dyDescent="0.3">
      <c r="A77" s="26" t="s">
        <v>39</v>
      </c>
      <c r="B77" s="26" t="s">
        <v>682</v>
      </c>
      <c r="C77" s="27" t="s">
        <v>727</v>
      </c>
      <c r="D77" s="26" t="s">
        <v>728</v>
      </c>
      <c r="E77" s="21">
        <v>2</v>
      </c>
      <c r="F77" s="22" t="s">
        <v>729</v>
      </c>
      <c r="G77" s="22" t="s">
        <v>591</v>
      </c>
      <c r="H77" s="21" t="s">
        <v>339</v>
      </c>
      <c r="I77" s="21">
        <v>2025</v>
      </c>
      <c r="J77" s="22" t="s">
        <v>230</v>
      </c>
      <c r="K77" s="23" t="s">
        <v>730</v>
      </c>
      <c r="L77" s="23" t="s">
        <v>731</v>
      </c>
      <c r="M77" s="23" t="s">
        <v>732</v>
      </c>
      <c r="N77" s="23" t="s">
        <v>733</v>
      </c>
      <c r="O77" s="23" t="s">
        <v>734</v>
      </c>
    </row>
    <row r="78" spans="1:15" ht="75" customHeight="1" x14ac:dyDescent="0.3">
      <c r="A78" s="26" t="s">
        <v>39</v>
      </c>
      <c r="B78" s="26" t="s">
        <v>682</v>
      </c>
      <c r="C78" s="27" t="s">
        <v>735</v>
      </c>
      <c r="D78" s="26" t="s">
        <v>736</v>
      </c>
      <c r="E78" s="21" t="s">
        <v>30</v>
      </c>
      <c r="F78" s="22" t="s">
        <v>31</v>
      </c>
      <c r="G78" s="22"/>
      <c r="H78" s="21"/>
      <c r="I78" s="21"/>
      <c r="J78" s="22"/>
      <c r="K78" s="23" t="s">
        <v>737</v>
      </c>
      <c r="L78" s="23" t="s">
        <v>738</v>
      </c>
      <c r="M78" s="23" t="s">
        <v>739</v>
      </c>
      <c r="N78" s="23" t="s">
        <v>740</v>
      </c>
      <c r="O78" s="23" t="s">
        <v>741</v>
      </c>
    </row>
    <row r="79" spans="1:15" ht="75" customHeight="1" x14ac:dyDescent="0.3">
      <c r="A79" s="26" t="s">
        <v>39</v>
      </c>
      <c r="B79" s="26" t="s">
        <v>682</v>
      </c>
      <c r="C79" s="27" t="s">
        <v>742</v>
      </c>
      <c r="D79" s="26" t="s">
        <v>743</v>
      </c>
      <c r="E79" s="21">
        <v>3</v>
      </c>
      <c r="F79" s="22" t="s">
        <v>744</v>
      </c>
      <c r="G79" s="22" t="s">
        <v>98</v>
      </c>
      <c r="H79" s="21" t="s">
        <v>745</v>
      </c>
      <c r="I79" s="21">
        <v>2025</v>
      </c>
      <c r="J79" s="22" t="s">
        <v>80</v>
      </c>
      <c r="K79" s="23" t="s">
        <v>746</v>
      </c>
      <c r="L79" s="23" t="s">
        <v>747</v>
      </c>
      <c r="M79" s="23" t="s">
        <v>748</v>
      </c>
      <c r="N79" s="23" t="s">
        <v>749</v>
      </c>
      <c r="O79" s="23" t="s">
        <v>750</v>
      </c>
    </row>
    <row r="80" spans="1:15" ht="75" customHeight="1" x14ac:dyDescent="0.3">
      <c r="A80" s="28" t="s">
        <v>40</v>
      </c>
      <c r="B80" s="28" t="s">
        <v>751</v>
      </c>
      <c r="C80" s="29" t="s">
        <v>752</v>
      </c>
      <c r="D80" s="28" t="s">
        <v>753</v>
      </c>
      <c r="E80" s="21">
        <v>4</v>
      </c>
      <c r="F80" s="22" t="s">
        <v>754</v>
      </c>
      <c r="G80" s="22" t="s">
        <v>98</v>
      </c>
      <c r="H80" s="21" t="s">
        <v>219</v>
      </c>
      <c r="I80" s="21">
        <v>2025</v>
      </c>
      <c r="J80" s="22" t="s">
        <v>148</v>
      </c>
      <c r="K80" s="23" t="s">
        <v>755</v>
      </c>
      <c r="L80" s="23" t="s">
        <v>756</v>
      </c>
      <c r="M80" s="23" t="s">
        <v>757</v>
      </c>
      <c r="N80" s="23" t="s">
        <v>758</v>
      </c>
      <c r="O80" s="23" t="s">
        <v>759</v>
      </c>
    </row>
    <row r="81" spans="1:15" ht="75" customHeight="1" x14ac:dyDescent="0.3">
      <c r="A81" s="28" t="s">
        <v>40</v>
      </c>
      <c r="B81" s="28" t="s">
        <v>751</v>
      </c>
      <c r="C81" s="29" t="s">
        <v>760</v>
      </c>
      <c r="D81" s="28" t="s">
        <v>761</v>
      </c>
      <c r="E81" s="21">
        <v>4</v>
      </c>
      <c r="F81" s="22" t="s">
        <v>762</v>
      </c>
      <c r="G81" s="22" t="s">
        <v>98</v>
      </c>
      <c r="H81" s="21" t="s">
        <v>763</v>
      </c>
      <c r="I81" s="21">
        <v>2025</v>
      </c>
      <c r="J81" s="22" t="s">
        <v>80</v>
      </c>
      <c r="K81" s="23" t="s">
        <v>764</v>
      </c>
      <c r="L81" s="23" t="s">
        <v>765</v>
      </c>
      <c r="M81" s="23" t="s">
        <v>766</v>
      </c>
      <c r="N81" s="23" t="s">
        <v>767</v>
      </c>
      <c r="O81" s="23" t="s">
        <v>768</v>
      </c>
    </row>
    <row r="82" spans="1:15" ht="75" customHeight="1" x14ac:dyDescent="0.3">
      <c r="A82" s="28" t="s">
        <v>40</v>
      </c>
      <c r="B82" s="28" t="s">
        <v>751</v>
      </c>
      <c r="C82" s="29" t="s">
        <v>769</v>
      </c>
      <c r="D82" s="28" t="s">
        <v>770</v>
      </c>
      <c r="E82" s="21">
        <v>4</v>
      </c>
      <c r="F82" s="22" t="s">
        <v>771</v>
      </c>
      <c r="G82" s="22" t="s">
        <v>98</v>
      </c>
      <c r="H82" s="21" t="s">
        <v>772</v>
      </c>
      <c r="I82" s="21">
        <v>2025</v>
      </c>
      <c r="J82" s="22" t="s">
        <v>148</v>
      </c>
      <c r="K82" s="23" t="s">
        <v>773</v>
      </c>
      <c r="L82" s="23" t="s">
        <v>774</v>
      </c>
      <c r="M82" s="23" t="s">
        <v>775</v>
      </c>
      <c r="N82" s="23" t="s">
        <v>776</v>
      </c>
      <c r="O82" s="23" t="s">
        <v>777</v>
      </c>
    </row>
    <row r="83" spans="1:15" ht="75" customHeight="1" x14ac:dyDescent="0.3">
      <c r="A83" s="28" t="s">
        <v>40</v>
      </c>
      <c r="B83" s="28" t="s">
        <v>751</v>
      </c>
      <c r="C83" s="29" t="s">
        <v>778</v>
      </c>
      <c r="D83" s="28" t="s">
        <v>779</v>
      </c>
      <c r="E83" s="21">
        <v>3</v>
      </c>
      <c r="F83" s="22" t="s">
        <v>780</v>
      </c>
      <c r="G83" s="22" t="s">
        <v>98</v>
      </c>
      <c r="H83" s="21" t="s">
        <v>781</v>
      </c>
      <c r="I83" s="21">
        <v>2025</v>
      </c>
      <c r="J83" s="22" t="s">
        <v>80</v>
      </c>
      <c r="K83" s="23" t="s">
        <v>782</v>
      </c>
      <c r="L83" s="23" t="s">
        <v>783</v>
      </c>
      <c r="M83" s="23" t="s">
        <v>784</v>
      </c>
      <c r="N83" s="23" t="s">
        <v>785</v>
      </c>
      <c r="O83" s="23" t="s">
        <v>786</v>
      </c>
    </row>
    <row r="84" spans="1:15" ht="75" customHeight="1" x14ac:dyDescent="0.3">
      <c r="A84" s="28" t="s">
        <v>40</v>
      </c>
      <c r="B84" s="28" t="s">
        <v>787</v>
      </c>
      <c r="C84" s="29" t="s">
        <v>788</v>
      </c>
      <c r="D84" s="28" t="s">
        <v>789</v>
      </c>
      <c r="E84" s="21">
        <v>3</v>
      </c>
      <c r="F84" s="33" t="s">
        <v>1280</v>
      </c>
      <c r="G84" s="22" t="s">
        <v>1270</v>
      </c>
      <c r="H84" s="35" t="s">
        <v>1281</v>
      </c>
      <c r="I84" s="21">
        <v>2025</v>
      </c>
      <c r="J84" s="22"/>
      <c r="K84" s="23" t="s">
        <v>790</v>
      </c>
      <c r="L84" s="23" t="s">
        <v>791</v>
      </c>
      <c r="M84" s="23" t="s">
        <v>792</v>
      </c>
      <c r="N84" s="23" t="s">
        <v>793</v>
      </c>
      <c r="O84" s="23" t="s">
        <v>794</v>
      </c>
    </row>
    <row r="85" spans="1:15" ht="75" customHeight="1" x14ac:dyDescent="0.3">
      <c r="A85" s="28" t="s">
        <v>40</v>
      </c>
      <c r="B85" s="28" t="s">
        <v>787</v>
      </c>
      <c r="C85" s="29" t="s">
        <v>795</v>
      </c>
      <c r="D85" s="28" t="s">
        <v>796</v>
      </c>
      <c r="E85" s="21" t="s">
        <v>30</v>
      </c>
      <c r="F85" s="22" t="s">
        <v>31</v>
      </c>
      <c r="G85" s="22"/>
      <c r="H85" s="21"/>
      <c r="I85" s="21"/>
      <c r="J85" s="22"/>
      <c r="K85" s="23" t="s">
        <v>797</v>
      </c>
      <c r="L85" s="23" t="s">
        <v>798</v>
      </c>
      <c r="M85" s="23" t="s">
        <v>799</v>
      </c>
      <c r="N85" s="23" t="s">
        <v>800</v>
      </c>
      <c r="O85" s="23" t="s">
        <v>801</v>
      </c>
    </row>
    <row r="86" spans="1:15" ht="75" customHeight="1" x14ac:dyDescent="0.3">
      <c r="A86" s="28" t="s">
        <v>40</v>
      </c>
      <c r="B86" s="28" t="s">
        <v>787</v>
      </c>
      <c r="C86" s="29" t="s">
        <v>802</v>
      </c>
      <c r="D86" s="28" t="s">
        <v>803</v>
      </c>
      <c r="E86" s="21" t="s">
        <v>30</v>
      </c>
      <c r="F86" s="22" t="s">
        <v>31</v>
      </c>
      <c r="G86" s="22"/>
      <c r="H86" s="21"/>
      <c r="I86" s="21"/>
      <c r="J86" s="22"/>
      <c r="K86" s="23" t="s">
        <v>804</v>
      </c>
      <c r="L86" s="23" t="s">
        <v>805</v>
      </c>
      <c r="M86" s="23" t="s">
        <v>806</v>
      </c>
      <c r="N86" s="23" t="s">
        <v>807</v>
      </c>
      <c r="O86" s="23" t="s">
        <v>808</v>
      </c>
    </row>
    <row r="87" spans="1:15" ht="75" customHeight="1" x14ac:dyDescent="0.3">
      <c r="A87" s="28" t="s">
        <v>40</v>
      </c>
      <c r="B87" s="28" t="s">
        <v>787</v>
      </c>
      <c r="C87" s="29" t="s">
        <v>809</v>
      </c>
      <c r="D87" s="28" t="s">
        <v>810</v>
      </c>
      <c r="E87" s="21">
        <v>4</v>
      </c>
      <c r="F87" s="22" t="s">
        <v>811</v>
      </c>
      <c r="G87" s="22" t="s">
        <v>98</v>
      </c>
      <c r="H87" s="21" t="s">
        <v>219</v>
      </c>
      <c r="I87" s="21">
        <v>2025</v>
      </c>
      <c r="J87" s="22" t="s">
        <v>148</v>
      </c>
      <c r="K87" s="23" t="s">
        <v>812</v>
      </c>
      <c r="L87" s="23" t="s">
        <v>813</v>
      </c>
      <c r="M87" s="23" t="s">
        <v>814</v>
      </c>
      <c r="N87" s="23" t="s">
        <v>815</v>
      </c>
      <c r="O87" s="23" t="s">
        <v>816</v>
      </c>
    </row>
    <row r="88" spans="1:15" ht="75" customHeight="1" x14ac:dyDescent="0.3">
      <c r="A88" s="28" t="s">
        <v>40</v>
      </c>
      <c r="B88" s="28" t="s">
        <v>787</v>
      </c>
      <c r="C88" s="29" t="s">
        <v>817</v>
      </c>
      <c r="D88" s="28" t="s">
        <v>818</v>
      </c>
      <c r="E88" s="21">
        <v>4</v>
      </c>
      <c r="F88" s="22" t="s">
        <v>819</v>
      </c>
      <c r="G88" s="22" t="s">
        <v>59</v>
      </c>
      <c r="H88" s="21" t="s">
        <v>426</v>
      </c>
      <c r="I88" s="21">
        <v>2025</v>
      </c>
      <c r="J88" s="22" t="s">
        <v>148</v>
      </c>
      <c r="K88" s="23" t="s">
        <v>820</v>
      </c>
      <c r="L88" s="23" t="s">
        <v>821</v>
      </c>
      <c r="M88" s="23" t="s">
        <v>822</v>
      </c>
      <c r="N88" s="23" t="s">
        <v>823</v>
      </c>
      <c r="O88" s="23" t="s">
        <v>824</v>
      </c>
    </row>
    <row r="89" spans="1:15" ht="75" customHeight="1" x14ac:dyDescent="0.3">
      <c r="A89" s="28" t="s">
        <v>40</v>
      </c>
      <c r="B89" s="28" t="s">
        <v>787</v>
      </c>
      <c r="C89" s="29" t="s">
        <v>825</v>
      </c>
      <c r="D89" s="28" t="s">
        <v>826</v>
      </c>
      <c r="E89" s="21">
        <v>4</v>
      </c>
      <c r="F89" s="22" t="s">
        <v>827</v>
      </c>
      <c r="G89" s="22" t="s">
        <v>491</v>
      </c>
      <c r="H89" s="21" t="s">
        <v>828</v>
      </c>
      <c r="I89" s="21">
        <v>2025</v>
      </c>
      <c r="J89" s="22" t="s">
        <v>80</v>
      </c>
      <c r="K89" s="23" t="s">
        <v>829</v>
      </c>
      <c r="L89" s="23" t="s">
        <v>830</v>
      </c>
      <c r="M89" s="23" t="s">
        <v>831</v>
      </c>
      <c r="N89" s="23" t="s">
        <v>832</v>
      </c>
      <c r="O89" s="23" t="s">
        <v>833</v>
      </c>
    </row>
    <row r="90" spans="1:15" ht="75" customHeight="1" x14ac:dyDescent="0.3">
      <c r="A90" s="28" t="s">
        <v>40</v>
      </c>
      <c r="B90" s="28" t="s">
        <v>834</v>
      </c>
      <c r="C90" s="29" t="s">
        <v>835</v>
      </c>
      <c r="D90" s="28" t="s">
        <v>836</v>
      </c>
      <c r="E90" s="21">
        <v>3</v>
      </c>
      <c r="F90" s="22" t="s">
        <v>837</v>
      </c>
      <c r="G90" s="22" t="s">
        <v>491</v>
      </c>
      <c r="H90" s="21" t="s">
        <v>219</v>
      </c>
      <c r="I90" s="21">
        <v>2025</v>
      </c>
      <c r="J90" s="22" t="s">
        <v>230</v>
      </c>
      <c r="K90" s="23" t="s">
        <v>838</v>
      </c>
      <c r="L90" s="23" t="s">
        <v>839</v>
      </c>
      <c r="M90" s="23" t="s">
        <v>840</v>
      </c>
      <c r="N90" s="23" t="s">
        <v>841</v>
      </c>
      <c r="O90" s="23" t="s">
        <v>842</v>
      </c>
    </row>
    <row r="91" spans="1:15" ht="75" customHeight="1" x14ac:dyDescent="0.3">
      <c r="A91" s="28" t="s">
        <v>40</v>
      </c>
      <c r="B91" s="28" t="s">
        <v>834</v>
      </c>
      <c r="C91" s="29" t="s">
        <v>843</v>
      </c>
      <c r="D91" s="28" t="s">
        <v>844</v>
      </c>
      <c r="E91" s="21" t="s">
        <v>30</v>
      </c>
      <c r="F91" s="22" t="s">
        <v>31</v>
      </c>
      <c r="G91" s="22"/>
      <c r="H91" s="21"/>
      <c r="I91" s="21"/>
      <c r="J91" s="22"/>
      <c r="K91" s="23" t="s">
        <v>845</v>
      </c>
      <c r="L91" s="23" t="s">
        <v>846</v>
      </c>
      <c r="M91" s="23" t="s">
        <v>847</v>
      </c>
      <c r="N91" s="23" t="s">
        <v>848</v>
      </c>
      <c r="O91" s="23" t="s">
        <v>849</v>
      </c>
    </row>
    <row r="92" spans="1:15" ht="75" customHeight="1" x14ac:dyDescent="0.3">
      <c r="A92" s="28" t="s">
        <v>40</v>
      </c>
      <c r="B92" s="28" t="s">
        <v>834</v>
      </c>
      <c r="C92" s="29" t="s">
        <v>850</v>
      </c>
      <c r="D92" s="28" t="s">
        <v>851</v>
      </c>
      <c r="E92" s="21" t="s">
        <v>30</v>
      </c>
      <c r="F92" s="22" t="s">
        <v>31</v>
      </c>
      <c r="G92" s="22"/>
      <c r="H92" s="21"/>
      <c r="I92" s="21"/>
      <c r="J92" s="22"/>
      <c r="K92" s="23" t="s">
        <v>852</v>
      </c>
      <c r="L92" s="23" t="s">
        <v>853</v>
      </c>
      <c r="M92" s="23" t="s">
        <v>854</v>
      </c>
      <c r="N92" s="23" t="s">
        <v>855</v>
      </c>
      <c r="O92" s="23" t="s">
        <v>856</v>
      </c>
    </row>
    <row r="93" spans="1:15" ht="75" customHeight="1" x14ac:dyDescent="0.3">
      <c r="A93" s="28" t="s">
        <v>40</v>
      </c>
      <c r="B93" s="28" t="s">
        <v>834</v>
      </c>
      <c r="C93" s="29" t="s">
        <v>857</v>
      </c>
      <c r="D93" s="28" t="s">
        <v>858</v>
      </c>
      <c r="E93" s="21" t="s">
        <v>30</v>
      </c>
      <c r="F93" s="22" t="s">
        <v>31</v>
      </c>
      <c r="G93" s="22"/>
      <c r="H93" s="21"/>
      <c r="I93" s="21"/>
      <c r="J93" s="22"/>
      <c r="K93" s="23" t="s">
        <v>859</v>
      </c>
      <c r="L93" s="23" t="s">
        <v>860</v>
      </c>
      <c r="M93" s="23" t="s">
        <v>861</v>
      </c>
      <c r="N93" s="23" t="s">
        <v>862</v>
      </c>
      <c r="O93" s="23" t="s">
        <v>863</v>
      </c>
    </row>
    <row r="94" spans="1:15" ht="75" customHeight="1" x14ac:dyDescent="0.3">
      <c r="A94" s="28" t="s">
        <v>40</v>
      </c>
      <c r="B94" s="28" t="s">
        <v>864</v>
      </c>
      <c r="C94" s="29" t="s">
        <v>865</v>
      </c>
      <c r="D94" s="28" t="s">
        <v>866</v>
      </c>
      <c r="E94" s="21">
        <v>4</v>
      </c>
      <c r="F94" s="22" t="s">
        <v>867</v>
      </c>
      <c r="G94" s="22" t="s">
        <v>98</v>
      </c>
      <c r="H94" s="21" t="s">
        <v>445</v>
      </c>
      <c r="I94" s="21">
        <v>2025</v>
      </c>
      <c r="J94" s="22" t="s">
        <v>148</v>
      </c>
      <c r="K94" s="23" t="s">
        <v>868</v>
      </c>
      <c r="L94" s="23" t="s">
        <v>869</v>
      </c>
      <c r="M94" s="23" t="s">
        <v>870</v>
      </c>
      <c r="N94" s="23" t="s">
        <v>871</v>
      </c>
      <c r="O94" s="23" t="s">
        <v>872</v>
      </c>
    </row>
    <row r="95" spans="1:15" ht="75" customHeight="1" x14ac:dyDescent="0.3">
      <c r="A95" s="28" t="s">
        <v>40</v>
      </c>
      <c r="B95" s="28" t="s">
        <v>864</v>
      </c>
      <c r="C95" s="29" t="s">
        <v>873</v>
      </c>
      <c r="D95" s="28" t="s">
        <v>874</v>
      </c>
      <c r="E95" s="21" t="s">
        <v>30</v>
      </c>
      <c r="F95" s="22" t="s">
        <v>31</v>
      </c>
      <c r="G95" s="22"/>
      <c r="H95" s="21"/>
      <c r="I95" s="21"/>
      <c r="J95" s="22"/>
      <c r="K95" s="23" t="s">
        <v>875</v>
      </c>
      <c r="L95" s="23" t="s">
        <v>876</v>
      </c>
      <c r="M95" s="23" t="s">
        <v>877</v>
      </c>
      <c r="N95" s="23" t="s">
        <v>878</v>
      </c>
      <c r="O95" s="23" t="s">
        <v>879</v>
      </c>
    </row>
    <row r="96" spans="1:15" ht="75" customHeight="1" x14ac:dyDescent="0.3">
      <c r="A96" s="28" t="s">
        <v>40</v>
      </c>
      <c r="B96" s="28" t="s">
        <v>864</v>
      </c>
      <c r="C96" s="29" t="s">
        <v>880</v>
      </c>
      <c r="D96" s="28" t="s">
        <v>881</v>
      </c>
      <c r="E96" s="21" t="s">
        <v>30</v>
      </c>
      <c r="F96" s="22" t="s">
        <v>31</v>
      </c>
      <c r="G96" s="22"/>
      <c r="H96" s="21"/>
      <c r="I96" s="21"/>
      <c r="J96" s="22"/>
      <c r="K96" s="23" t="s">
        <v>882</v>
      </c>
      <c r="L96" s="23" t="s">
        <v>883</v>
      </c>
      <c r="M96" s="23" t="s">
        <v>884</v>
      </c>
      <c r="N96" s="23" t="s">
        <v>885</v>
      </c>
      <c r="O96" s="23" t="s">
        <v>886</v>
      </c>
    </row>
    <row r="97" spans="1:15" ht="75" customHeight="1" x14ac:dyDescent="0.3">
      <c r="A97" s="28" t="s">
        <v>40</v>
      </c>
      <c r="B97" s="28" t="s">
        <v>864</v>
      </c>
      <c r="C97" s="29" t="s">
        <v>887</v>
      </c>
      <c r="D97" s="28" t="s">
        <v>888</v>
      </c>
      <c r="E97" s="21">
        <v>3</v>
      </c>
      <c r="F97" s="22" t="s">
        <v>889</v>
      </c>
      <c r="G97" s="22" t="s">
        <v>98</v>
      </c>
      <c r="H97" s="21" t="s">
        <v>79</v>
      </c>
      <c r="I97" s="21">
        <v>2025</v>
      </c>
      <c r="J97" s="22" t="s">
        <v>80</v>
      </c>
      <c r="K97" s="23" t="s">
        <v>890</v>
      </c>
      <c r="L97" s="23" t="s">
        <v>891</v>
      </c>
      <c r="M97" s="23" t="s">
        <v>892</v>
      </c>
      <c r="N97" s="23" t="s">
        <v>893</v>
      </c>
      <c r="O97" s="23" t="s">
        <v>894</v>
      </c>
    </row>
    <row r="98" spans="1:15" ht="75" customHeight="1" x14ac:dyDescent="0.3">
      <c r="A98" s="28" t="s">
        <v>40</v>
      </c>
      <c r="B98" s="28" t="s">
        <v>864</v>
      </c>
      <c r="C98" s="29" t="s">
        <v>895</v>
      </c>
      <c r="D98" s="28" t="s">
        <v>896</v>
      </c>
      <c r="E98" s="21">
        <v>3</v>
      </c>
      <c r="F98" s="33" t="s">
        <v>1282</v>
      </c>
      <c r="G98" s="33" t="s">
        <v>1283</v>
      </c>
      <c r="H98" s="35" t="s">
        <v>1284</v>
      </c>
      <c r="I98" s="21">
        <v>2025</v>
      </c>
      <c r="J98" s="22"/>
      <c r="K98" s="23" t="s">
        <v>897</v>
      </c>
      <c r="L98" s="23" t="s">
        <v>898</v>
      </c>
      <c r="M98" s="23" t="s">
        <v>899</v>
      </c>
      <c r="N98" s="23" t="s">
        <v>900</v>
      </c>
      <c r="O98" s="23" t="s">
        <v>901</v>
      </c>
    </row>
    <row r="99" spans="1:15" ht="75" customHeight="1" x14ac:dyDescent="0.3">
      <c r="A99" s="28" t="s">
        <v>40</v>
      </c>
      <c r="B99" s="28" t="s">
        <v>864</v>
      </c>
      <c r="C99" s="29" t="s">
        <v>902</v>
      </c>
      <c r="D99" s="28" t="s">
        <v>903</v>
      </c>
      <c r="E99" s="21" t="s">
        <v>30</v>
      </c>
      <c r="F99" s="22" t="s">
        <v>31</v>
      </c>
      <c r="G99" s="22"/>
      <c r="H99" s="21"/>
      <c r="I99" s="21"/>
      <c r="J99" s="22"/>
      <c r="K99" s="23" t="s">
        <v>904</v>
      </c>
      <c r="L99" s="23" t="s">
        <v>905</v>
      </c>
      <c r="M99" s="23" t="s">
        <v>906</v>
      </c>
      <c r="N99" s="23" t="s">
        <v>907</v>
      </c>
      <c r="O99" s="23" t="s">
        <v>908</v>
      </c>
    </row>
    <row r="100" spans="1:15" ht="75" customHeight="1" x14ac:dyDescent="0.3">
      <c r="A100" s="28" t="s">
        <v>40</v>
      </c>
      <c r="B100" s="28" t="s">
        <v>864</v>
      </c>
      <c r="C100" s="29" t="s">
        <v>909</v>
      </c>
      <c r="D100" s="28" t="s">
        <v>910</v>
      </c>
      <c r="E100" s="21">
        <v>3</v>
      </c>
      <c r="F100" s="22" t="s">
        <v>911</v>
      </c>
      <c r="G100" s="22" t="s">
        <v>912</v>
      </c>
      <c r="H100" s="21" t="s">
        <v>383</v>
      </c>
      <c r="I100" s="21">
        <v>2025</v>
      </c>
      <c r="J100" s="22" t="s">
        <v>80</v>
      </c>
      <c r="K100" s="23" t="s">
        <v>913</v>
      </c>
      <c r="L100" s="23" t="s">
        <v>914</v>
      </c>
      <c r="M100" s="23" t="s">
        <v>915</v>
      </c>
      <c r="N100" s="23" t="s">
        <v>916</v>
      </c>
      <c r="O100" s="23" t="s">
        <v>917</v>
      </c>
    </row>
    <row r="101" spans="1:15" ht="75" customHeight="1" x14ac:dyDescent="0.3">
      <c r="A101" s="28" t="s">
        <v>40</v>
      </c>
      <c r="B101" s="28" t="s">
        <v>864</v>
      </c>
      <c r="C101" s="29" t="s">
        <v>918</v>
      </c>
      <c r="D101" s="28" t="s">
        <v>919</v>
      </c>
      <c r="E101" s="21">
        <v>4</v>
      </c>
      <c r="F101" s="22" t="s">
        <v>920</v>
      </c>
      <c r="G101" s="22" t="s">
        <v>491</v>
      </c>
      <c r="H101" s="21" t="s">
        <v>921</v>
      </c>
      <c r="I101" s="21">
        <v>2025</v>
      </c>
      <c r="J101" s="22" t="s">
        <v>148</v>
      </c>
      <c r="K101" s="23" t="s">
        <v>922</v>
      </c>
      <c r="L101" s="23" t="s">
        <v>923</v>
      </c>
      <c r="M101" s="23" t="s">
        <v>924</v>
      </c>
      <c r="N101" s="23" t="s">
        <v>925</v>
      </c>
      <c r="O101" s="23" t="s">
        <v>926</v>
      </c>
    </row>
    <row r="102" spans="1:15" ht="75" customHeight="1" x14ac:dyDescent="0.3">
      <c r="A102" s="22" t="s">
        <v>41</v>
      </c>
      <c r="B102" s="22" t="s">
        <v>927</v>
      </c>
      <c r="C102" s="30" t="s">
        <v>928</v>
      </c>
      <c r="D102" s="22" t="s">
        <v>929</v>
      </c>
      <c r="E102" s="21">
        <v>3</v>
      </c>
      <c r="F102" s="22" t="s">
        <v>930</v>
      </c>
      <c r="G102" s="22" t="s">
        <v>931</v>
      </c>
      <c r="H102" s="21" t="s">
        <v>932</v>
      </c>
      <c r="I102" s="21">
        <v>2025</v>
      </c>
      <c r="J102" s="22" t="s">
        <v>80</v>
      </c>
      <c r="K102" s="23" t="s">
        <v>933</v>
      </c>
      <c r="L102" s="23" t="s">
        <v>934</v>
      </c>
      <c r="M102" s="23" t="s">
        <v>935</v>
      </c>
      <c r="N102" s="23" t="s">
        <v>936</v>
      </c>
      <c r="O102" s="23" t="s">
        <v>937</v>
      </c>
    </row>
    <row r="103" spans="1:15" ht="75" customHeight="1" x14ac:dyDescent="0.3">
      <c r="A103" s="22" t="s">
        <v>41</v>
      </c>
      <c r="B103" s="22" t="s">
        <v>927</v>
      </c>
      <c r="C103" s="30" t="s">
        <v>938</v>
      </c>
      <c r="D103" s="22" t="s">
        <v>939</v>
      </c>
      <c r="E103" s="21" t="s">
        <v>30</v>
      </c>
      <c r="F103" s="22" t="s">
        <v>31</v>
      </c>
      <c r="G103" s="22"/>
      <c r="H103" s="21"/>
      <c r="I103" s="21"/>
      <c r="J103" s="22"/>
      <c r="K103" s="23" t="s">
        <v>940</v>
      </c>
      <c r="L103" s="23" t="s">
        <v>941</v>
      </c>
      <c r="M103" s="23" t="s">
        <v>942</v>
      </c>
      <c r="N103" s="23" t="s">
        <v>943</v>
      </c>
      <c r="O103" s="23" t="s">
        <v>944</v>
      </c>
    </row>
    <row r="104" spans="1:15" ht="75" customHeight="1" x14ac:dyDescent="0.3">
      <c r="A104" s="22" t="s">
        <v>41</v>
      </c>
      <c r="B104" s="22" t="s">
        <v>927</v>
      </c>
      <c r="C104" s="30" t="s">
        <v>945</v>
      </c>
      <c r="D104" s="22" t="s">
        <v>946</v>
      </c>
      <c r="E104" s="21">
        <v>3</v>
      </c>
      <c r="F104" s="22" t="s">
        <v>947</v>
      </c>
      <c r="G104" s="22" t="s">
        <v>481</v>
      </c>
      <c r="H104" s="21" t="s">
        <v>482</v>
      </c>
      <c r="I104" s="21">
        <v>2025</v>
      </c>
      <c r="J104" s="22" t="s">
        <v>80</v>
      </c>
      <c r="K104" s="23" t="s">
        <v>948</v>
      </c>
      <c r="L104" s="23" t="s">
        <v>949</v>
      </c>
      <c r="M104" s="23" t="s">
        <v>950</v>
      </c>
      <c r="N104" s="23" t="s">
        <v>951</v>
      </c>
      <c r="O104" s="23" t="s">
        <v>952</v>
      </c>
    </row>
    <row r="105" spans="1:15" ht="75" customHeight="1" x14ac:dyDescent="0.3">
      <c r="A105" s="22" t="s">
        <v>41</v>
      </c>
      <c r="B105" s="22" t="s">
        <v>927</v>
      </c>
      <c r="C105" s="30" t="s">
        <v>953</v>
      </c>
      <c r="D105" s="22" t="s">
        <v>954</v>
      </c>
      <c r="E105" s="21" t="s">
        <v>30</v>
      </c>
      <c r="F105" s="22" t="s">
        <v>31</v>
      </c>
      <c r="G105" s="22"/>
      <c r="H105" s="21"/>
      <c r="I105" s="21"/>
      <c r="J105" s="22"/>
      <c r="K105" s="23" t="s">
        <v>955</v>
      </c>
      <c r="L105" s="23" t="s">
        <v>956</v>
      </c>
      <c r="M105" s="23" t="s">
        <v>957</v>
      </c>
      <c r="N105" s="23" t="s">
        <v>958</v>
      </c>
      <c r="O105" s="23" t="s">
        <v>959</v>
      </c>
    </row>
    <row r="106" spans="1:15" ht="75" customHeight="1" x14ac:dyDescent="0.3">
      <c r="A106" s="22" t="s">
        <v>41</v>
      </c>
      <c r="B106" s="22" t="s">
        <v>927</v>
      </c>
      <c r="C106" s="30" t="s">
        <v>960</v>
      </c>
      <c r="D106" s="22" t="s">
        <v>961</v>
      </c>
      <c r="E106" s="21">
        <v>4</v>
      </c>
      <c r="F106" s="22" t="s">
        <v>962</v>
      </c>
      <c r="G106" s="22" t="s">
        <v>280</v>
      </c>
      <c r="H106" s="21" t="s">
        <v>426</v>
      </c>
      <c r="I106" s="21">
        <v>2025</v>
      </c>
      <c r="J106" s="22" t="s">
        <v>148</v>
      </c>
      <c r="K106" s="23" t="s">
        <v>963</v>
      </c>
      <c r="L106" s="23" t="s">
        <v>964</v>
      </c>
      <c r="M106" s="23" t="s">
        <v>965</v>
      </c>
      <c r="N106" s="23" t="s">
        <v>966</v>
      </c>
      <c r="O106" s="23" t="s">
        <v>967</v>
      </c>
    </row>
    <row r="107" spans="1:15" ht="75" customHeight="1" x14ac:dyDescent="0.3">
      <c r="A107" s="22" t="s">
        <v>41</v>
      </c>
      <c r="B107" s="22" t="s">
        <v>927</v>
      </c>
      <c r="C107" s="30" t="s">
        <v>968</v>
      </c>
      <c r="D107" s="22" t="s">
        <v>969</v>
      </c>
      <c r="E107" s="21">
        <v>3</v>
      </c>
      <c r="F107" s="22" t="s">
        <v>970</v>
      </c>
      <c r="G107" s="22" t="s">
        <v>98</v>
      </c>
      <c r="H107" s="21" t="s">
        <v>971</v>
      </c>
      <c r="I107" s="21">
        <v>2025</v>
      </c>
      <c r="J107" s="22" t="s">
        <v>80</v>
      </c>
      <c r="K107" s="23" t="s">
        <v>972</v>
      </c>
      <c r="L107" s="23" t="s">
        <v>973</v>
      </c>
      <c r="M107" s="23" t="s">
        <v>974</v>
      </c>
      <c r="N107" s="23" t="s">
        <v>975</v>
      </c>
      <c r="O107" s="23" t="s">
        <v>976</v>
      </c>
    </row>
    <row r="108" spans="1:15" ht="75" customHeight="1" x14ac:dyDescent="0.3">
      <c r="A108" s="22" t="s">
        <v>41</v>
      </c>
      <c r="B108" s="22" t="s">
        <v>977</v>
      </c>
      <c r="C108" s="30" t="s">
        <v>978</v>
      </c>
      <c r="D108" s="22" t="s">
        <v>979</v>
      </c>
      <c r="E108" s="21">
        <v>3</v>
      </c>
      <c r="F108" s="22" t="s">
        <v>980</v>
      </c>
      <c r="G108" s="22" t="s">
        <v>98</v>
      </c>
      <c r="H108" s="21" t="s">
        <v>219</v>
      </c>
      <c r="I108" s="21">
        <v>2025</v>
      </c>
      <c r="J108" s="22" t="s">
        <v>981</v>
      </c>
      <c r="K108" s="23" t="s">
        <v>982</v>
      </c>
      <c r="L108" s="23" t="s">
        <v>983</v>
      </c>
      <c r="M108" s="23" t="s">
        <v>984</v>
      </c>
      <c r="N108" s="23" t="s">
        <v>985</v>
      </c>
      <c r="O108" s="23" t="s">
        <v>986</v>
      </c>
    </row>
    <row r="109" spans="1:15" ht="75" customHeight="1" x14ac:dyDescent="0.3">
      <c r="A109" s="22" t="s">
        <v>41</v>
      </c>
      <c r="B109" s="22" t="s">
        <v>977</v>
      </c>
      <c r="C109" s="30" t="s">
        <v>987</v>
      </c>
      <c r="D109" s="22" t="s">
        <v>988</v>
      </c>
      <c r="E109" s="21">
        <v>3</v>
      </c>
      <c r="F109" s="22" t="s">
        <v>989</v>
      </c>
      <c r="G109" s="22" t="s">
        <v>98</v>
      </c>
      <c r="H109" s="21" t="s">
        <v>990</v>
      </c>
      <c r="I109" s="21">
        <v>2025</v>
      </c>
      <c r="J109" s="22" t="s">
        <v>80</v>
      </c>
      <c r="K109" s="23" t="s">
        <v>991</v>
      </c>
      <c r="L109" s="23" t="s">
        <v>992</v>
      </c>
      <c r="M109" s="23" t="s">
        <v>993</v>
      </c>
      <c r="N109" s="23" t="s">
        <v>994</v>
      </c>
      <c r="O109" s="23" t="s">
        <v>995</v>
      </c>
    </row>
    <row r="110" spans="1:15" ht="75" customHeight="1" x14ac:dyDescent="0.3">
      <c r="A110" s="22" t="s">
        <v>41</v>
      </c>
      <c r="B110" s="22" t="s">
        <v>977</v>
      </c>
      <c r="C110" s="30" t="s">
        <v>996</v>
      </c>
      <c r="D110" s="22" t="s">
        <v>997</v>
      </c>
      <c r="E110" s="21">
        <v>4</v>
      </c>
      <c r="F110" s="22" t="s">
        <v>998</v>
      </c>
      <c r="G110" s="22" t="s">
        <v>98</v>
      </c>
      <c r="H110" s="21" t="s">
        <v>999</v>
      </c>
      <c r="I110" s="21">
        <v>2025</v>
      </c>
      <c r="J110" s="22" t="s">
        <v>80</v>
      </c>
      <c r="K110" s="23" t="s">
        <v>1000</v>
      </c>
      <c r="L110" s="23" t="s">
        <v>1001</v>
      </c>
      <c r="M110" s="23" t="s">
        <v>1002</v>
      </c>
      <c r="N110" s="23" t="s">
        <v>1003</v>
      </c>
      <c r="O110" s="23" t="s">
        <v>1004</v>
      </c>
    </row>
    <row r="111" spans="1:15" ht="75" customHeight="1" x14ac:dyDescent="0.3">
      <c r="A111" s="22" t="s">
        <v>41</v>
      </c>
      <c r="B111" s="22" t="s">
        <v>977</v>
      </c>
      <c r="C111" s="30" t="s">
        <v>1005</v>
      </c>
      <c r="D111" s="22" t="s">
        <v>1006</v>
      </c>
      <c r="E111" s="21">
        <v>4</v>
      </c>
      <c r="F111" s="22" t="s">
        <v>1007</v>
      </c>
      <c r="G111" s="22" t="s">
        <v>98</v>
      </c>
      <c r="H111" s="21" t="s">
        <v>1008</v>
      </c>
      <c r="I111" s="21">
        <v>2025</v>
      </c>
      <c r="J111" s="22" t="s">
        <v>148</v>
      </c>
      <c r="K111" s="23" t="s">
        <v>1009</v>
      </c>
      <c r="L111" s="23" t="s">
        <v>1010</v>
      </c>
      <c r="M111" s="23" t="s">
        <v>1011</v>
      </c>
      <c r="N111" s="23" t="s">
        <v>1012</v>
      </c>
      <c r="O111" s="23" t="s">
        <v>1013</v>
      </c>
    </row>
    <row r="112" spans="1:15" ht="75" customHeight="1" x14ac:dyDescent="0.3">
      <c r="A112" s="22" t="s">
        <v>41</v>
      </c>
      <c r="B112" s="22" t="s">
        <v>977</v>
      </c>
      <c r="C112" s="30" t="s">
        <v>1014</v>
      </c>
      <c r="D112" s="22" t="s">
        <v>1015</v>
      </c>
      <c r="E112" s="21">
        <v>3</v>
      </c>
      <c r="F112" s="22" t="s">
        <v>1016</v>
      </c>
      <c r="G112" s="22" t="s">
        <v>98</v>
      </c>
      <c r="H112" s="21" t="s">
        <v>300</v>
      </c>
      <c r="I112" s="21">
        <v>2025</v>
      </c>
      <c r="J112" s="22" t="s">
        <v>1017</v>
      </c>
      <c r="K112" s="23" t="s">
        <v>1018</v>
      </c>
      <c r="L112" s="23" t="s">
        <v>1019</v>
      </c>
      <c r="M112" s="23" t="s">
        <v>1020</v>
      </c>
      <c r="N112" s="23" t="s">
        <v>1021</v>
      </c>
      <c r="O112" s="23" t="s">
        <v>1022</v>
      </c>
    </row>
    <row r="113" spans="1:15" ht="75" customHeight="1" x14ac:dyDescent="0.3">
      <c r="A113" s="22" t="s">
        <v>41</v>
      </c>
      <c r="B113" s="22" t="s">
        <v>977</v>
      </c>
      <c r="C113" s="30" t="s">
        <v>1023</v>
      </c>
      <c r="D113" s="22" t="s">
        <v>1024</v>
      </c>
      <c r="E113" s="21">
        <v>4</v>
      </c>
      <c r="F113" s="22" t="s">
        <v>1025</v>
      </c>
      <c r="G113" s="22" t="s">
        <v>98</v>
      </c>
      <c r="H113" s="21" t="s">
        <v>1026</v>
      </c>
      <c r="I113" s="21">
        <v>2025</v>
      </c>
      <c r="J113" s="22" t="s">
        <v>148</v>
      </c>
      <c r="K113" s="23" t="s">
        <v>1027</v>
      </c>
      <c r="L113" s="23" t="s">
        <v>1028</v>
      </c>
      <c r="M113" s="23" t="s">
        <v>1029</v>
      </c>
      <c r="N113" s="23" t="s">
        <v>1030</v>
      </c>
      <c r="O113" s="23" t="s">
        <v>1031</v>
      </c>
    </row>
    <row r="114" spans="1:15" ht="75" customHeight="1" x14ac:dyDescent="0.3">
      <c r="A114" s="22" t="s">
        <v>41</v>
      </c>
      <c r="B114" s="22" t="s">
        <v>977</v>
      </c>
      <c r="C114" s="30" t="s">
        <v>1032</v>
      </c>
      <c r="D114" s="22" t="s">
        <v>1033</v>
      </c>
      <c r="E114" s="21">
        <v>4</v>
      </c>
      <c r="F114" s="22" t="s">
        <v>1034</v>
      </c>
      <c r="G114" s="22" t="s">
        <v>98</v>
      </c>
      <c r="H114" s="21" t="s">
        <v>1026</v>
      </c>
      <c r="I114" s="21">
        <v>2025</v>
      </c>
      <c r="J114" s="22" t="s">
        <v>148</v>
      </c>
      <c r="K114" s="23" t="s">
        <v>1035</v>
      </c>
      <c r="L114" s="23" t="s">
        <v>1036</v>
      </c>
      <c r="M114" s="23" t="s">
        <v>1037</v>
      </c>
      <c r="N114" s="23" t="s">
        <v>1038</v>
      </c>
      <c r="O114" s="23" t="s">
        <v>1039</v>
      </c>
    </row>
    <row r="115" spans="1:15" ht="75" customHeight="1" x14ac:dyDescent="0.3">
      <c r="A115" s="22" t="s">
        <v>41</v>
      </c>
      <c r="B115" s="22" t="s">
        <v>977</v>
      </c>
      <c r="C115" s="30" t="s">
        <v>1040</v>
      </c>
      <c r="D115" s="22" t="s">
        <v>1041</v>
      </c>
      <c r="E115" s="21">
        <v>3</v>
      </c>
      <c r="F115" s="22" t="s">
        <v>1042</v>
      </c>
      <c r="G115" s="22" t="s">
        <v>98</v>
      </c>
      <c r="H115" s="21" t="s">
        <v>1043</v>
      </c>
      <c r="I115" s="21">
        <v>2025</v>
      </c>
      <c r="J115" s="22" t="s">
        <v>1044</v>
      </c>
      <c r="K115" s="23" t="s">
        <v>1045</v>
      </c>
      <c r="L115" s="23" t="s">
        <v>1046</v>
      </c>
      <c r="M115" s="23" t="s">
        <v>1047</v>
      </c>
      <c r="N115" s="23" t="s">
        <v>1048</v>
      </c>
      <c r="O115" s="23" t="s">
        <v>1049</v>
      </c>
    </row>
    <row r="116" spans="1:15" ht="75" customHeight="1" x14ac:dyDescent="0.3">
      <c r="A116" s="22" t="s">
        <v>41</v>
      </c>
      <c r="B116" s="22" t="s">
        <v>1050</v>
      </c>
      <c r="C116" s="30" t="s">
        <v>1051</v>
      </c>
      <c r="D116" s="22" t="s">
        <v>1052</v>
      </c>
      <c r="E116" s="21">
        <v>3</v>
      </c>
      <c r="F116" s="22" t="s">
        <v>1053</v>
      </c>
      <c r="G116" s="22" t="s">
        <v>98</v>
      </c>
      <c r="H116" s="21" t="s">
        <v>1054</v>
      </c>
      <c r="I116" s="21">
        <v>2025</v>
      </c>
      <c r="J116" s="22" t="s">
        <v>80</v>
      </c>
      <c r="K116" s="23" t="s">
        <v>1055</v>
      </c>
      <c r="L116" s="23" t="s">
        <v>1056</v>
      </c>
      <c r="M116" s="23" t="s">
        <v>1057</v>
      </c>
      <c r="N116" s="23" t="s">
        <v>1058</v>
      </c>
      <c r="O116" s="23" t="s">
        <v>1059</v>
      </c>
    </row>
    <row r="117" spans="1:15" ht="75" customHeight="1" x14ac:dyDescent="0.3">
      <c r="A117" s="22" t="s">
        <v>41</v>
      </c>
      <c r="B117" s="22" t="s">
        <v>1050</v>
      </c>
      <c r="C117" s="30" t="s">
        <v>1060</v>
      </c>
      <c r="D117" s="22" t="s">
        <v>1061</v>
      </c>
      <c r="E117" s="21">
        <v>3</v>
      </c>
      <c r="F117" s="22" t="s">
        <v>1062</v>
      </c>
      <c r="G117" s="22" t="s">
        <v>98</v>
      </c>
      <c r="H117" s="21" t="s">
        <v>472</v>
      </c>
      <c r="I117" s="21">
        <v>2025</v>
      </c>
      <c r="J117" s="22" t="s">
        <v>80</v>
      </c>
      <c r="K117" s="23" t="s">
        <v>1063</v>
      </c>
      <c r="L117" s="23" t="s">
        <v>1064</v>
      </c>
      <c r="M117" s="23" t="s">
        <v>1065</v>
      </c>
      <c r="N117" s="23" t="s">
        <v>1066</v>
      </c>
      <c r="O117" s="23" t="s">
        <v>1067</v>
      </c>
    </row>
    <row r="118" spans="1:15" ht="75" customHeight="1" x14ac:dyDescent="0.3">
      <c r="A118" s="22" t="s">
        <v>41</v>
      </c>
      <c r="B118" s="22" t="s">
        <v>1050</v>
      </c>
      <c r="C118" s="30" t="s">
        <v>1068</v>
      </c>
      <c r="D118" s="22" t="s">
        <v>1069</v>
      </c>
      <c r="E118" s="21">
        <v>4</v>
      </c>
      <c r="F118" s="22" t="s">
        <v>1070</v>
      </c>
      <c r="G118" s="22" t="s">
        <v>98</v>
      </c>
      <c r="H118" s="21" t="s">
        <v>1071</v>
      </c>
      <c r="I118" s="21">
        <v>2025</v>
      </c>
      <c r="J118" s="22" t="s">
        <v>148</v>
      </c>
      <c r="K118" s="23" t="s">
        <v>1072</v>
      </c>
      <c r="L118" s="23" t="s">
        <v>1073</v>
      </c>
      <c r="M118" s="23" t="s">
        <v>1074</v>
      </c>
      <c r="N118" s="23" t="s">
        <v>1075</v>
      </c>
      <c r="O118" s="23" t="s">
        <v>1076</v>
      </c>
    </row>
    <row r="119" spans="1:15" ht="75" customHeight="1" x14ac:dyDescent="0.3">
      <c r="A119" s="22" t="s">
        <v>41</v>
      </c>
      <c r="B119" s="22" t="s">
        <v>1050</v>
      </c>
      <c r="C119" s="30" t="s">
        <v>1077</v>
      </c>
      <c r="D119" s="22" t="s">
        <v>1078</v>
      </c>
      <c r="E119" s="21">
        <v>2</v>
      </c>
      <c r="F119" s="22" t="s">
        <v>1079</v>
      </c>
      <c r="G119" s="22" t="s">
        <v>98</v>
      </c>
      <c r="H119" s="21" t="s">
        <v>492</v>
      </c>
      <c r="I119" s="21">
        <v>2025</v>
      </c>
      <c r="J119" s="22" t="s">
        <v>1080</v>
      </c>
      <c r="K119" s="23" t="s">
        <v>1081</v>
      </c>
      <c r="L119" s="23" t="s">
        <v>1082</v>
      </c>
      <c r="M119" s="23" t="s">
        <v>1083</v>
      </c>
      <c r="N119" s="23" t="s">
        <v>1084</v>
      </c>
      <c r="O119" s="23" t="s">
        <v>1085</v>
      </c>
    </row>
    <row r="120" spans="1:15" ht="75" customHeight="1" x14ac:dyDescent="0.3">
      <c r="A120" s="22" t="s">
        <v>41</v>
      </c>
      <c r="B120" s="22" t="s">
        <v>1050</v>
      </c>
      <c r="C120" s="30" t="s">
        <v>1086</v>
      </c>
      <c r="D120" s="22" t="s">
        <v>1087</v>
      </c>
      <c r="E120" s="21">
        <v>3</v>
      </c>
      <c r="F120" s="33" t="s">
        <v>1285</v>
      </c>
      <c r="G120" s="33" t="s">
        <v>1286</v>
      </c>
      <c r="H120" s="35" t="s">
        <v>1287</v>
      </c>
      <c r="I120" s="21">
        <v>2025</v>
      </c>
      <c r="J120" s="22"/>
      <c r="K120" s="23" t="s">
        <v>1088</v>
      </c>
      <c r="L120" s="23" t="s">
        <v>1089</v>
      </c>
      <c r="M120" s="23" t="s">
        <v>1090</v>
      </c>
      <c r="N120" s="23" t="s">
        <v>1091</v>
      </c>
      <c r="O120" s="23" t="s">
        <v>1092</v>
      </c>
    </row>
    <row r="121" spans="1:15" ht="75" customHeight="1" x14ac:dyDescent="0.3">
      <c r="A121" s="22" t="s">
        <v>41</v>
      </c>
      <c r="B121" s="22" t="s">
        <v>1050</v>
      </c>
      <c r="C121" s="30" t="s">
        <v>1093</v>
      </c>
      <c r="D121" s="22" t="s">
        <v>1094</v>
      </c>
      <c r="E121" s="21">
        <v>3</v>
      </c>
      <c r="F121" s="22" t="s">
        <v>1095</v>
      </c>
      <c r="G121" s="22" t="s">
        <v>98</v>
      </c>
      <c r="H121" s="21" t="s">
        <v>1096</v>
      </c>
      <c r="I121" s="21">
        <v>2025</v>
      </c>
      <c r="J121" s="22" t="s">
        <v>80</v>
      </c>
      <c r="K121" s="23" t="s">
        <v>1097</v>
      </c>
      <c r="L121" s="23" t="s">
        <v>1098</v>
      </c>
      <c r="M121" s="23" t="s">
        <v>1099</v>
      </c>
      <c r="N121" s="23" t="s">
        <v>1100</v>
      </c>
      <c r="O121" s="23" t="s">
        <v>1101</v>
      </c>
    </row>
    <row r="122" spans="1:15" ht="75" customHeight="1" x14ac:dyDescent="0.3">
      <c r="A122" s="22" t="s">
        <v>41</v>
      </c>
      <c r="B122" s="22" t="s">
        <v>1050</v>
      </c>
      <c r="C122" s="30" t="s">
        <v>1102</v>
      </c>
      <c r="D122" s="22" t="s">
        <v>1103</v>
      </c>
      <c r="E122" s="21" t="s">
        <v>30</v>
      </c>
      <c r="F122" s="33" t="s">
        <v>31</v>
      </c>
      <c r="G122" s="22"/>
      <c r="H122" s="21"/>
      <c r="I122" s="21"/>
      <c r="J122" s="22"/>
      <c r="K122" s="23" t="s">
        <v>1104</v>
      </c>
      <c r="L122" s="23" t="s">
        <v>1105</v>
      </c>
      <c r="M122" s="23" t="s">
        <v>1106</v>
      </c>
      <c r="N122" s="23" t="s">
        <v>1107</v>
      </c>
      <c r="O122" s="23" t="s">
        <v>1108</v>
      </c>
    </row>
    <row r="123" spans="1:15" ht="75" customHeight="1" x14ac:dyDescent="0.3">
      <c r="A123" s="22" t="s">
        <v>41</v>
      </c>
      <c r="B123" s="22" t="s">
        <v>1050</v>
      </c>
      <c r="C123" s="30" t="s">
        <v>1109</v>
      </c>
      <c r="D123" s="22" t="s">
        <v>1110</v>
      </c>
      <c r="E123" s="21">
        <v>3</v>
      </c>
      <c r="F123" s="22" t="s">
        <v>1111</v>
      </c>
      <c r="G123" s="22" t="s">
        <v>98</v>
      </c>
      <c r="H123" s="21" t="s">
        <v>426</v>
      </c>
      <c r="I123" s="21">
        <v>2025</v>
      </c>
      <c r="J123" s="22" t="s">
        <v>80</v>
      </c>
      <c r="K123" s="23" t="s">
        <v>1112</v>
      </c>
      <c r="L123" s="23" t="s">
        <v>1113</v>
      </c>
      <c r="M123" s="23" t="s">
        <v>1114</v>
      </c>
      <c r="N123" s="23" t="s">
        <v>1115</v>
      </c>
      <c r="O123" s="23" t="s">
        <v>1116</v>
      </c>
    </row>
    <row r="124" spans="1:15" ht="75" customHeight="1" x14ac:dyDescent="0.3">
      <c r="A124" s="31" t="s">
        <v>42</v>
      </c>
      <c r="B124" s="31" t="s">
        <v>1117</v>
      </c>
      <c r="C124" s="32" t="s">
        <v>1118</v>
      </c>
      <c r="D124" s="31" t="s">
        <v>1119</v>
      </c>
      <c r="E124" s="21" t="s">
        <v>30</v>
      </c>
      <c r="F124" s="22" t="s">
        <v>31</v>
      </c>
      <c r="G124" s="22"/>
      <c r="H124" s="21"/>
      <c r="I124" s="21"/>
      <c r="J124" s="22"/>
      <c r="K124" s="23" t="s">
        <v>1120</v>
      </c>
      <c r="L124" s="23" t="s">
        <v>1121</v>
      </c>
      <c r="M124" s="23" t="s">
        <v>1122</v>
      </c>
      <c r="N124" s="23" t="s">
        <v>1123</v>
      </c>
      <c r="O124" s="23" t="s">
        <v>1124</v>
      </c>
    </row>
    <row r="125" spans="1:15" ht="75" customHeight="1" x14ac:dyDescent="0.3">
      <c r="A125" s="31" t="s">
        <v>42</v>
      </c>
      <c r="B125" s="31" t="s">
        <v>1117</v>
      </c>
      <c r="C125" s="32" t="s">
        <v>1125</v>
      </c>
      <c r="D125" s="31" t="s">
        <v>1126</v>
      </c>
      <c r="E125" s="21">
        <v>2</v>
      </c>
      <c r="F125" s="33" t="s">
        <v>1288</v>
      </c>
      <c r="G125" s="33" t="s">
        <v>1283</v>
      </c>
      <c r="H125" s="35" t="s">
        <v>1289</v>
      </c>
      <c r="I125" s="21">
        <v>2025</v>
      </c>
      <c r="J125" s="22"/>
      <c r="K125" s="23" t="s">
        <v>1127</v>
      </c>
      <c r="L125" s="23" t="s">
        <v>1128</v>
      </c>
      <c r="M125" s="23" t="s">
        <v>1129</v>
      </c>
      <c r="N125" s="23" t="s">
        <v>1130</v>
      </c>
      <c r="O125" s="23" t="s">
        <v>1131</v>
      </c>
    </row>
    <row r="126" spans="1:15" ht="75" customHeight="1" x14ac:dyDescent="0.3">
      <c r="A126" s="31" t="s">
        <v>42</v>
      </c>
      <c r="B126" s="31" t="s">
        <v>1117</v>
      </c>
      <c r="C126" s="32" t="s">
        <v>1132</v>
      </c>
      <c r="D126" s="31" t="s">
        <v>1133</v>
      </c>
      <c r="E126" s="21" t="s">
        <v>30</v>
      </c>
      <c r="F126" s="22" t="s">
        <v>31</v>
      </c>
      <c r="G126" s="22"/>
      <c r="H126" s="21"/>
      <c r="I126" s="21"/>
      <c r="J126" s="22"/>
      <c r="K126" s="23" t="s">
        <v>1134</v>
      </c>
      <c r="L126" s="23" t="s">
        <v>1135</v>
      </c>
      <c r="M126" s="23" t="s">
        <v>1136</v>
      </c>
      <c r="N126" s="23" t="s">
        <v>1137</v>
      </c>
      <c r="O126" s="23" t="s">
        <v>1138</v>
      </c>
    </row>
    <row r="127" spans="1:15" ht="75" customHeight="1" x14ac:dyDescent="0.3">
      <c r="A127" s="31" t="s">
        <v>42</v>
      </c>
      <c r="B127" s="31" t="s">
        <v>1117</v>
      </c>
      <c r="C127" s="32" t="s">
        <v>1139</v>
      </c>
      <c r="D127" s="31" t="s">
        <v>1140</v>
      </c>
      <c r="E127" s="21">
        <v>2</v>
      </c>
      <c r="F127" s="22" t="s">
        <v>1141</v>
      </c>
      <c r="G127" s="22" t="s">
        <v>280</v>
      </c>
      <c r="H127" s="21" t="s">
        <v>1142</v>
      </c>
      <c r="I127" s="21">
        <v>2025</v>
      </c>
      <c r="J127" s="22" t="s">
        <v>230</v>
      </c>
      <c r="K127" s="23" t="s">
        <v>1143</v>
      </c>
      <c r="L127" s="23" t="s">
        <v>1144</v>
      </c>
      <c r="M127" s="23" t="s">
        <v>1145</v>
      </c>
      <c r="N127" s="23" t="s">
        <v>1146</v>
      </c>
      <c r="O127" s="23" t="s">
        <v>1147</v>
      </c>
    </row>
    <row r="128" spans="1:15" ht="75" customHeight="1" x14ac:dyDescent="0.3">
      <c r="A128" s="31" t="s">
        <v>42</v>
      </c>
      <c r="B128" s="31" t="s">
        <v>1117</v>
      </c>
      <c r="C128" s="32" t="s">
        <v>1148</v>
      </c>
      <c r="D128" s="31" t="s">
        <v>1149</v>
      </c>
      <c r="E128" s="21">
        <v>3</v>
      </c>
      <c r="F128" s="33" t="s">
        <v>1290</v>
      </c>
      <c r="G128" s="33" t="s">
        <v>1262</v>
      </c>
      <c r="H128" s="21">
        <v>79</v>
      </c>
      <c r="I128" s="21">
        <v>2025</v>
      </c>
      <c r="J128" s="22"/>
      <c r="K128" s="23" t="s">
        <v>1150</v>
      </c>
      <c r="L128" s="23" t="s">
        <v>1151</v>
      </c>
      <c r="M128" s="23" t="s">
        <v>1152</v>
      </c>
      <c r="N128" s="23" t="s">
        <v>1153</v>
      </c>
      <c r="O128" s="23" t="s">
        <v>1154</v>
      </c>
    </row>
    <row r="129" spans="1:15" ht="75" customHeight="1" x14ac:dyDescent="0.3">
      <c r="A129" s="31" t="s">
        <v>42</v>
      </c>
      <c r="B129" s="31" t="s">
        <v>1117</v>
      </c>
      <c r="C129" s="32" t="s">
        <v>1155</v>
      </c>
      <c r="D129" s="31" t="s">
        <v>1156</v>
      </c>
      <c r="E129" s="21">
        <v>3</v>
      </c>
      <c r="F129" s="22" t="s">
        <v>1157</v>
      </c>
      <c r="G129" s="22" t="s">
        <v>98</v>
      </c>
      <c r="H129" s="21" t="s">
        <v>1158</v>
      </c>
      <c r="I129" s="21">
        <v>2025</v>
      </c>
      <c r="J129" s="22" t="s">
        <v>1159</v>
      </c>
      <c r="K129" s="23" t="s">
        <v>1160</v>
      </c>
      <c r="L129" s="23" t="s">
        <v>1161</v>
      </c>
      <c r="M129" s="23" t="s">
        <v>1162</v>
      </c>
      <c r="N129" s="23" t="s">
        <v>1163</v>
      </c>
      <c r="O129" s="23" t="s">
        <v>1164</v>
      </c>
    </row>
    <row r="130" spans="1:15" ht="75" customHeight="1" x14ac:dyDescent="0.3">
      <c r="A130" s="31" t="s">
        <v>42</v>
      </c>
      <c r="B130" s="31" t="s">
        <v>1117</v>
      </c>
      <c r="C130" s="32" t="s">
        <v>1165</v>
      </c>
      <c r="D130" s="31" t="s">
        <v>1166</v>
      </c>
      <c r="E130" s="21">
        <v>3</v>
      </c>
      <c r="F130" s="33" t="s">
        <v>1167</v>
      </c>
      <c r="G130" s="22" t="s">
        <v>98</v>
      </c>
      <c r="H130" s="21" t="s">
        <v>492</v>
      </c>
      <c r="I130" s="21">
        <v>2025</v>
      </c>
      <c r="J130" s="22" t="s">
        <v>80</v>
      </c>
      <c r="K130" s="23" t="s">
        <v>1168</v>
      </c>
      <c r="L130" s="23" t="s">
        <v>1169</v>
      </c>
      <c r="M130" s="23" t="s">
        <v>1170</v>
      </c>
      <c r="N130" s="23" t="s">
        <v>1171</v>
      </c>
      <c r="O130" s="23" t="s">
        <v>1172</v>
      </c>
    </row>
    <row r="131" spans="1:15" ht="75" customHeight="1" x14ac:dyDescent="0.3">
      <c r="A131" s="31" t="s">
        <v>42</v>
      </c>
      <c r="B131" s="31" t="s">
        <v>1117</v>
      </c>
      <c r="C131" s="32" t="s">
        <v>1173</v>
      </c>
      <c r="D131" s="31" t="s">
        <v>1174</v>
      </c>
      <c r="E131" s="21">
        <v>3</v>
      </c>
      <c r="F131" s="22" t="s">
        <v>1175</v>
      </c>
      <c r="G131" s="22" t="s">
        <v>98</v>
      </c>
      <c r="H131" s="21" t="s">
        <v>1176</v>
      </c>
      <c r="I131" s="21">
        <v>2025</v>
      </c>
      <c r="J131" s="22" t="s">
        <v>1177</v>
      </c>
      <c r="K131" s="23" t="s">
        <v>1178</v>
      </c>
      <c r="L131" s="23" t="s">
        <v>1179</v>
      </c>
      <c r="M131" s="23" t="s">
        <v>1180</v>
      </c>
      <c r="N131" s="23" t="s">
        <v>1181</v>
      </c>
      <c r="O131" s="23" t="s">
        <v>1182</v>
      </c>
    </row>
    <row r="132" spans="1:15" ht="75" customHeight="1" x14ac:dyDescent="0.3">
      <c r="A132" s="31" t="s">
        <v>42</v>
      </c>
      <c r="B132" s="31" t="s">
        <v>1183</v>
      </c>
      <c r="C132" s="32" t="s">
        <v>1184</v>
      </c>
      <c r="D132" s="31" t="s">
        <v>1185</v>
      </c>
      <c r="E132" s="21" t="s">
        <v>30</v>
      </c>
      <c r="F132" s="22" t="s">
        <v>31</v>
      </c>
      <c r="G132" s="22"/>
      <c r="H132" s="21"/>
      <c r="I132" s="21"/>
      <c r="J132" s="22"/>
      <c r="K132" s="23" t="s">
        <v>1186</v>
      </c>
      <c r="L132" s="23" t="s">
        <v>1187</v>
      </c>
      <c r="M132" s="23" t="s">
        <v>1188</v>
      </c>
      <c r="N132" s="23" t="s">
        <v>1189</v>
      </c>
      <c r="O132" s="23" t="s">
        <v>1190</v>
      </c>
    </row>
    <row r="133" spans="1:15" ht="75" customHeight="1" x14ac:dyDescent="0.3">
      <c r="A133" s="31" t="s">
        <v>42</v>
      </c>
      <c r="B133" s="31" t="s">
        <v>1183</v>
      </c>
      <c r="C133" s="32" t="s">
        <v>1191</v>
      </c>
      <c r="D133" s="31" t="s">
        <v>1192</v>
      </c>
      <c r="E133" s="21">
        <v>2</v>
      </c>
      <c r="F133" s="33" t="s">
        <v>1291</v>
      </c>
      <c r="G133" s="33" t="s">
        <v>1262</v>
      </c>
      <c r="H133" s="21">
        <v>37</v>
      </c>
      <c r="I133" s="21">
        <v>2025</v>
      </c>
      <c r="J133" s="22"/>
      <c r="K133" s="23" t="s">
        <v>1193</v>
      </c>
      <c r="L133" s="23" t="s">
        <v>1194</v>
      </c>
      <c r="M133" s="23" t="s">
        <v>1195</v>
      </c>
      <c r="N133" s="23" t="s">
        <v>1196</v>
      </c>
      <c r="O133" s="23" t="s">
        <v>1197</v>
      </c>
    </row>
    <row r="134" spans="1:15" ht="75" customHeight="1" x14ac:dyDescent="0.3">
      <c r="A134" s="31" t="s">
        <v>42</v>
      </c>
      <c r="B134" s="31" t="s">
        <v>1183</v>
      </c>
      <c r="C134" s="32" t="s">
        <v>1198</v>
      </c>
      <c r="D134" s="31" t="s">
        <v>1199</v>
      </c>
      <c r="E134" s="35" t="s">
        <v>30</v>
      </c>
      <c r="F134" s="22" t="s">
        <v>31</v>
      </c>
      <c r="G134" s="33"/>
      <c r="H134" s="21"/>
      <c r="I134" s="21"/>
      <c r="J134" s="22"/>
      <c r="K134" s="23" t="s">
        <v>1200</v>
      </c>
      <c r="L134" s="23" t="s">
        <v>1201</v>
      </c>
      <c r="M134" s="23" t="s">
        <v>1202</v>
      </c>
      <c r="N134" s="23" t="s">
        <v>1203</v>
      </c>
      <c r="O134" s="23" t="s">
        <v>1204</v>
      </c>
    </row>
    <row r="135" spans="1:15" ht="75" customHeight="1" x14ac:dyDescent="0.3">
      <c r="A135" s="31" t="s">
        <v>42</v>
      </c>
      <c r="B135" s="31" t="s">
        <v>1183</v>
      </c>
      <c r="C135" s="32" t="s">
        <v>1205</v>
      </c>
      <c r="D135" s="31" t="s">
        <v>1206</v>
      </c>
      <c r="E135" s="21" t="s">
        <v>30</v>
      </c>
      <c r="F135" s="22" t="s">
        <v>31</v>
      </c>
      <c r="G135" s="22"/>
      <c r="H135" s="21"/>
      <c r="I135" s="21"/>
      <c r="J135" s="22"/>
      <c r="K135" s="23" t="s">
        <v>1207</v>
      </c>
      <c r="L135" s="23" t="s">
        <v>1208</v>
      </c>
      <c r="M135" s="23" t="s">
        <v>1209</v>
      </c>
      <c r="N135" s="23" t="s">
        <v>1210</v>
      </c>
      <c r="O135" s="23" t="s">
        <v>1211</v>
      </c>
    </row>
    <row r="136" spans="1:15" ht="75" customHeight="1" x14ac:dyDescent="0.3">
      <c r="A136" s="31" t="s">
        <v>42</v>
      </c>
      <c r="B136" s="31" t="s">
        <v>1183</v>
      </c>
      <c r="C136" s="32" t="s">
        <v>1212</v>
      </c>
      <c r="D136" s="31" t="s">
        <v>1213</v>
      </c>
      <c r="E136" s="21" t="s">
        <v>30</v>
      </c>
      <c r="F136" s="22" t="s">
        <v>31</v>
      </c>
      <c r="G136" s="22"/>
      <c r="H136" s="21"/>
      <c r="I136" s="21"/>
      <c r="J136" s="22"/>
      <c r="K136" s="23" t="s">
        <v>1214</v>
      </c>
      <c r="L136" s="23" t="s">
        <v>1215</v>
      </c>
      <c r="M136" s="23" t="s">
        <v>1216</v>
      </c>
      <c r="N136" s="23" t="s">
        <v>1217</v>
      </c>
      <c r="O136" s="23" t="s">
        <v>1218</v>
      </c>
    </row>
    <row r="137" spans="1:15" ht="75" customHeight="1" x14ac:dyDescent="0.3">
      <c r="A137" s="31" t="s">
        <v>42</v>
      </c>
      <c r="B137" s="31" t="s">
        <v>1183</v>
      </c>
      <c r="C137" s="32" t="s">
        <v>1219</v>
      </c>
      <c r="D137" s="31" t="s">
        <v>1220</v>
      </c>
      <c r="E137" s="21" t="s">
        <v>30</v>
      </c>
      <c r="F137" s="22" t="s">
        <v>31</v>
      </c>
      <c r="G137" s="22"/>
      <c r="H137" s="21"/>
      <c r="I137" s="21"/>
      <c r="J137" s="22"/>
      <c r="K137" s="23" t="s">
        <v>1221</v>
      </c>
      <c r="L137" s="23" t="s">
        <v>1222</v>
      </c>
      <c r="M137" s="23" t="s">
        <v>1223</v>
      </c>
      <c r="N137" s="23" t="s">
        <v>1224</v>
      </c>
      <c r="O137" s="23" t="s">
        <v>1225</v>
      </c>
    </row>
    <row r="138" spans="1:15" ht="75" customHeight="1" x14ac:dyDescent="0.3">
      <c r="A138" s="31" t="s">
        <v>42</v>
      </c>
      <c r="B138" s="31" t="s">
        <v>1183</v>
      </c>
      <c r="C138" s="32" t="s">
        <v>1226</v>
      </c>
      <c r="D138" s="31" t="s">
        <v>1227</v>
      </c>
      <c r="E138" s="21" t="s">
        <v>30</v>
      </c>
      <c r="F138" s="22" t="s">
        <v>31</v>
      </c>
      <c r="G138" s="22"/>
      <c r="H138" s="21"/>
      <c r="I138" s="21"/>
      <c r="J138" s="22"/>
      <c r="K138" s="23" t="s">
        <v>1228</v>
      </c>
      <c r="L138" s="23" t="s">
        <v>1229</v>
      </c>
      <c r="M138" s="23" t="s">
        <v>1230</v>
      </c>
      <c r="N138" s="23" t="s">
        <v>1231</v>
      </c>
      <c r="O138" s="23" t="s">
        <v>1232</v>
      </c>
    </row>
    <row r="139" spans="1:15" ht="75" customHeight="1" x14ac:dyDescent="0.3">
      <c r="A139" s="31" t="s">
        <v>42</v>
      </c>
      <c r="B139" s="31" t="s">
        <v>1233</v>
      </c>
      <c r="C139" s="32" t="s">
        <v>1234</v>
      </c>
      <c r="D139" s="31" t="s">
        <v>1235</v>
      </c>
      <c r="E139" s="21">
        <v>3</v>
      </c>
      <c r="F139" s="22" t="s">
        <v>1236</v>
      </c>
      <c r="G139" s="22" t="s">
        <v>98</v>
      </c>
      <c r="H139" s="21" t="s">
        <v>1237</v>
      </c>
      <c r="I139" s="21">
        <v>2025</v>
      </c>
      <c r="J139" s="22" t="s">
        <v>80</v>
      </c>
      <c r="K139" s="23" t="s">
        <v>1238</v>
      </c>
      <c r="L139" s="23" t="s">
        <v>1239</v>
      </c>
      <c r="M139" s="23" t="s">
        <v>1240</v>
      </c>
      <c r="N139" s="23" t="s">
        <v>1241</v>
      </c>
      <c r="O139" s="23" t="s">
        <v>1242</v>
      </c>
    </row>
    <row r="140" spans="1:15" ht="75" customHeight="1" x14ac:dyDescent="0.3">
      <c r="A140" s="31" t="s">
        <v>42</v>
      </c>
      <c r="B140" s="31" t="s">
        <v>1233</v>
      </c>
      <c r="C140" s="32" t="s">
        <v>1243</v>
      </c>
      <c r="D140" s="31" t="s">
        <v>1244</v>
      </c>
      <c r="E140" s="21">
        <v>3</v>
      </c>
      <c r="F140" s="22" t="s">
        <v>1245</v>
      </c>
      <c r="G140" s="22" t="s">
        <v>98</v>
      </c>
      <c r="H140" s="21" t="s">
        <v>1246</v>
      </c>
      <c r="I140" s="21">
        <v>2025</v>
      </c>
      <c r="J140" s="22" t="s">
        <v>80</v>
      </c>
      <c r="K140" s="23" t="s">
        <v>1247</v>
      </c>
      <c r="L140" s="23" t="s">
        <v>1248</v>
      </c>
      <c r="M140" s="23" t="s">
        <v>1249</v>
      </c>
      <c r="N140" s="23" t="s">
        <v>1250</v>
      </c>
      <c r="O140" s="23" t="s">
        <v>1251</v>
      </c>
    </row>
    <row r="141" spans="1:15" ht="75" customHeight="1" x14ac:dyDescent="0.3">
      <c r="A141" s="31" t="s">
        <v>42</v>
      </c>
      <c r="B141" s="31" t="s">
        <v>1233</v>
      </c>
      <c r="C141" s="32" t="s">
        <v>1252</v>
      </c>
      <c r="D141" s="31" t="s">
        <v>1253</v>
      </c>
      <c r="E141" s="21">
        <v>3</v>
      </c>
      <c r="F141" s="22" t="s">
        <v>1254</v>
      </c>
      <c r="G141" s="22" t="s">
        <v>98</v>
      </c>
      <c r="H141" s="21" t="s">
        <v>426</v>
      </c>
      <c r="I141" s="21">
        <v>2025</v>
      </c>
      <c r="J141" s="22" t="s">
        <v>1255</v>
      </c>
      <c r="K141" s="23" t="s">
        <v>1256</v>
      </c>
      <c r="L141" s="23" t="s">
        <v>1257</v>
      </c>
      <c r="M141" s="23" t="s">
        <v>1258</v>
      </c>
      <c r="N141" s="23" t="s">
        <v>1259</v>
      </c>
      <c r="O141" s="23" t="s">
        <v>1260</v>
      </c>
    </row>
  </sheetData>
  <autoFilter ref="A1:O141" xr:uid="{00000000-0009-0000-0000-000001000000}"/>
  <conditionalFormatting sqref="E2:E141">
    <cfRule type="expression" dxfId="1" priority="2">
      <formula>AND($E2&lt;&gt;"",$E2&lt;&gt;"N/A",$F2="")</formula>
    </cfRule>
    <cfRule type="cellIs" dxfId="0" priority="3" operator="equal">
      <formula>"N/A"</formula>
    </cfRule>
  </conditionalFormatting>
  <dataValidations count="2">
    <dataValidation type="list" allowBlank="1" showInputMessage="1" showErrorMessage="1" errorTitle="Level không hợp lệ" error="Chỉ chọn 1, 2, 3, 4, 5 hoặc N/A." promptTitle="Level" prompt="1–5 theo mô tả DBI; N/A nếu không có minh chứng công khai" sqref="E2:E141" xr:uid="{00000000-0002-0000-0100-000000000000}">
      <formula1>"1,2,3,4,5,N/A"</formula1>
      <formula2>0</formula2>
    </dataValidation>
    <dataValidation type="whole" allowBlank="1" showErrorMessage="1" errorTitle="Năm" error="Nhập năm dạng số, ví dụ 2025." sqref="I2:I141" xr:uid="{00000000-0002-0000-0100-000001000000}">
      <formula1>2015</formula1>
      <formula2>2030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Hướng dẫn</vt:lpstr>
      <vt:lpstr>Chấm điểm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tran ly</cp:lastModifiedBy>
  <cp:revision>0</cp:revision>
  <dcterms:created xsi:type="dcterms:W3CDTF">2026-10-07T05:58:20Z</dcterms:created>
  <dcterms:modified xsi:type="dcterms:W3CDTF">2026-10-10T09:11:09Z</dcterms:modified>
  <dc:language>en-US</dc:language>
</cp:coreProperties>
</file>