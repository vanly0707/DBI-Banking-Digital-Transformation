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3244648F-2329-41B4-8333-8DD514377614}" xr6:coauthVersionLast="47" xr6:coauthVersionMax="47" xr10:uidLastSave="{00000000-0000-0000-0000-000000000000}"/>
  <bookViews>
    <workbookView xWindow="-96" yWindow="0" windowWidth="14484" windowHeight="12336" tabRatio="500" activeTab="1" xr2:uid="{00000000-000D-0000-FFFF-FFFF00000000}"/>
  </bookViews>
  <sheets>
    <sheet name="Hướng dẫn" sheetId="1" r:id="rId1"/>
    <sheet name="Chấm điểm" sheetId="2" r:id="rId2"/>
  </sheets>
  <definedNames>
    <definedName name="_xlnm._FilterDatabase" localSheetId="1" hidden="1">'Chấm điểm'!$A$1:$O$141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7" i="1" l="1"/>
  <c r="D36" i="1"/>
  <c r="D35" i="1"/>
  <c r="D32" i="1"/>
  <c r="C32" i="1"/>
  <c r="B32" i="1"/>
  <c r="D31" i="1"/>
  <c r="C31" i="1"/>
  <c r="B31" i="1"/>
  <c r="D30" i="1"/>
  <c r="C30" i="1"/>
  <c r="B30" i="1"/>
  <c r="D29" i="1"/>
  <c r="C29" i="1"/>
  <c r="B29" i="1"/>
  <c r="D28" i="1"/>
  <c r="C28" i="1"/>
  <c r="B28" i="1"/>
  <c r="D27" i="1"/>
  <c r="C27" i="1"/>
  <c r="B27" i="1"/>
  <c r="E31" i="1" l="1"/>
  <c r="E30" i="1"/>
  <c r="E27" i="1"/>
  <c r="E28" i="1"/>
  <c r="E29" i="1"/>
  <c r="E32" i="1"/>
  <c r="C33" i="1"/>
  <c r="D33" i="1"/>
  <c r="B33" i="1"/>
  <c r="E33" i="1" l="1"/>
</calcChain>
</file>

<file path=xl/sharedStrings.xml><?xml version="1.0" encoding="utf-8"?>
<sst xmlns="http://schemas.openxmlformats.org/spreadsheetml/2006/main" count="1843" uniqueCount="1319">
  <si>
    <t>PHIẾU THU THẬP MINH CHỨNG &amp; CHẤM ĐIỂM CĐS (DBI)</t>
  </si>
  <si>
    <t>Ngân hàng</t>
  </si>
  <si>
    <t>MB Bank</t>
  </si>
  <si>
    <t>← Tên ngân hàng: KHÔNG sửa (code đọc ô B3 để nhận diện)</t>
  </si>
  <si>
    <t>Người phụ trách</t>
  </si>
  <si>
    <t>VLy</t>
  </si>
  <si>
    <t>Năm dữ liệu (FY)</t>
  </si>
  <si>
    <t>Deadline nộp</t>
  </si>
  <si>
    <t>09/10</t>
  </si>
  <si>
    <t>CÁCH ĐIỀN (sheet "Chấm điểm")</t>
  </si>
  <si>
    <t>1. Chỉ điền vào các cột nền VÀNG (Level, Minh chứng, Nguồn, Trang, Năm, Ghi chú). Cột xám là cố định, không sửa.</t>
  </si>
  <si>
    <t>2. Đọc mô tả Mức 1–5 ở các cột bên phải của từng tiêu chí, rồi đọc minh chứng đã ghi để chọn Level.</t>
  </si>
  <si>
    <t>3. Level: chọn từ danh sách 1, 2, 3, 4, 5 hoặc N/A (không có minh chứng công khai). Không để trống.</t>
  </si>
  <si>
    <t>4. Trả lời 3 câu hỏi: (a) có tồn tại không; (b) phạm vi: một phần / một cụm / toàn ngân hàng / cùng đối tác; (c) có số liệu hoặc cam kết đo lường không.</t>
  </si>
  <si>
    <t>5. Minh chứng: ghi ngắn gọn điều ngân hàng đã làm, ưu tiên có số liệu. Không chép nguyên đoạn dài.</t>
  </si>
  <si>
    <t>6. Nguồn: tên tài liệu hoặc URL. Nhiều nguồn thì cách nhau bằng dấu chấm phẩy ( ; ). Ưu tiên BCTN, BC PTBV, website ngân hàng hơn tin tức.</t>
  </si>
  <si>
    <t>7. Trang: số trang trong tài liệu (nếu là website thì ghi "web"). Năm: năm của tài liệu/bài đăng.</t>
  </si>
  <si>
    <t>8. Chỉ dùng dữ liệu công khai. Chấm theo minh chứng đã ghi, không chấm theo ấn tượng chung về ngân hàng.</t>
  </si>
  <si>
    <t>9. Không thêm/xóa/đổi thứ tự dòng, không đổi tên cột, không đổi mã tiêu chí (phải đủ 140 mã).</t>
  </si>
  <si>
    <t>VÍ DỤ ĐIỀN (chỉ minh họa, KHÔNG chép vào sheet Chấm điểm)</t>
  </si>
  <si>
    <t>Mã</t>
  </si>
  <si>
    <t>Level</t>
  </si>
  <si>
    <t>Minh chứng</t>
  </si>
  <si>
    <t>Nguồn</t>
  </si>
  <si>
    <t>Trang</t>
  </si>
  <si>
    <t>Năm</t>
  </si>
  <si>
    <t>1.1.1</t>
  </si>
  <si>
    <t>Ứng dụng gợi ý sản phẩm/ưu đãi theo hành vi giao dịch cho nhóm khách hàng cá nhân; chưa nêu phạm vi toàn ngân hàng.</t>
  </si>
  <si>
    <t>BCTN 2025; website mục Ngân hàng số</t>
  </si>
  <si>
    <t>1.1.2</t>
  </si>
  <si>
    <t>N/A</t>
  </si>
  <si>
    <t>Không tìm thấy thông tin công khai.</t>
  </si>
  <si>
    <t>TIẾN ĐỘ &amp; KIỂM TRA TỰ ĐỘNG</t>
  </si>
  <si>
    <t>Trụ cột</t>
  </si>
  <si>
    <t>Tổng tiêu chí</t>
  </si>
  <si>
    <t>Đã có Level (1–5)</t>
  </si>
  <si>
    <t>Còn trống</t>
  </si>
  <si>
    <t>1. Trụ cột Khách hàng</t>
  </si>
  <si>
    <t>2. Trụ cột Chiến lược</t>
  </si>
  <si>
    <t>3. Trụ cột Công nghệ</t>
  </si>
  <si>
    <t>4. Trụ cột Vận hành</t>
  </si>
  <si>
    <t>5. Trụ cột Văn hóa</t>
  </si>
  <si>
    <t>6. Trụ cột Dữ liệu</t>
  </si>
  <si>
    <t>TỔNG</t>
  </si>
  <si>
    <t>Level sai (khác 1–5 và N/A)</t>
  </si>
  <si>
    <t>Có Level 1–5 nhưng thiếu Minh chứng</t>
  </si>
  <si>
    <t>Có Level 1–5 nhưng thiếu Nguồn</t>
  </si>
  <si>
    <t>Mục tiêu: "Còn trống" = 0 và cả 3 ô kiểm tra = 0 trước khi nộp.</t>
  </si>
  <si>
    <t>Nhóm tiêu chí</t>
  </si>
  <si>
    <t>Tiêu chí</t>
  </si>
  <si>
    <t>Ghi chú</t>
  </si>
  <si>
    <t>Mức 1</t>
  </si>
  <si>
    <t>Mức 2</t>
  </si>
  <si>
    <t>Mức 3</t>
  </si>
  <si>
    <t>Mức 4</t>
  </si>
  <si>
    <t>Mức 5</t>
  </si>
  <si>
    <t>Góc nhìn của khách hàng đối với sản phẩm, dịch vụ</t>
  </si>
  <si>
    <t>Cá nhân hóa trải nghiệm</t>
  </si>
  <si>
    <t>Dùng AI phân tích hành vi khách hàng để đưa trải nghiệm/sản phẩm phù hợp từng khách hàng; BeeRich đưa khuyến nghị đầu tư dựa trên dữ liệu; 2026 ưu tiên dùng dữ liệu, AI để cá nhân hóa giải pháp.</t>
  </si>
  <si>
    <t>MB, Báo cáo thường niên 2025 (công bố 30/03/2026)</t>
  </si>
  <si>
    <t>36-37; 38-39; 174-175; 208-209</t>
  </si>
  <si>
    <t>Độ tin cậy: TB. Có chủ trương và sản phẩm nhưng chưa công bố chỉ số mức độ cá nhân hóa toàn ngân hàng.</t>
  </si>
  <si>
    <t>Có ít hoặc chưa có cá nhân hóa trong trải nghiệm khách hàng.</t>
  </si>
  <si>
    <t>Một số khía cạnh trong trải nghiệm khách hàng được cá nhân hóa dựa trên thông tin về khách hàng thu thập được ở một số bộ phận, đơn vị chức năng.</t>
  </si>
  <si>
    <t>Một số khía cạnh trong trải nghiệm khách hàng được cá nhân hóa dựa trên thông tin về khách hàng thu thập được và triển khai ở một số cụm các bộ phận, đơn vị chức năng.</t>
  </si>
  <si>
    <t>Tất cả các khía cạnh trong trải nghiệm khách hàng được cá nhân hóa dựa trên thông tin về khách hàng thu thập được và triển khai trong toàn doanh nghiệp.</t>
  </si>
  <si>
    <t>Tất cả các khía cạnh trong trải nghiệm khách hàng được cá nhân hóa dựa trên thông tin về khách hàng thu thập được, triển khai trong toàn doanh nghiệp và các đối tác trong hệ sinh thái của doanh nghiệp.</t>
  </si>
  <si>
    <t>Tiếp thị mục tiêu</t>
  </si>
  <si>
    <t>Big Data để tối ưu chiến lược marketing và phát triển sản phẩm; CRM hỗ trợ lực lượng bán chăm sóc, tư vấn; chatbot, callbot.</t>
  </si>
  <si>
    <t>78-79; 208-209</t>
  </si>
  <si>
    <t>Độ tin cậy: TB. Chưa có số liệu về tỷ lệ nội dung nhắm mục tiêu.</t>
  </si>
  <si>
    <t>Có một số nội dung tiếp thị được nhắm mục tiêu.</t>
  </si>
  <si>
    <t>Hầu hết nội dung tiếp thị được nhắm mục tiêu.</t>
  </si>
  <si>
    <t>Hầu hết nội dung tiếp thị được nhắm mục tiêu và có liên quan đến bối cảnh của khách hàng.</t>
  </si>
  <si>
    <t>Tất cả nội dung tiếp thị trong doanh nghiệp được nhắm mục tiêu và có liên quan đến bối cảnh của khách hàng.</t>
  </si>
  <si>
    <t>Tất cả nội dung tiếp thị từ cả doanh nghiệp và các đối tác trong hệ sinh thái của doanh nghiệp đều được nhắm mục tiêu và có liên quan đến bối cảnh của khách hàng.</t>
  </si>
  <si>
    <t>1.1.3</t>
  </si>
  <si>
    <t>Tự tùy chỉnh</t>
  </si>
  <si>
    <t>Hệ sinh thái tự phục vụ: App MBBank, BIZ MBBank, BeeRich (quản lý tài chính thông minh), MB Seller, MB Junior (trẻ em 6-15 tuổi); khách hàng tự thao tác L/C online, ký số hợp đồng tín dụng, giải ngân 24/7. Mô tả App Store: tự mở sổ tiết kiệm, cá nhân hóa thẻ và thêm vào Apple Wallet, hạng thành viên MB Membership.</t>
  </si>
  <si>
    <t>MB, Báo cáo thường niên 2025 (công bố 30/03/2026); Apple App Store, 'MB Bank' (apps.apple.com/us/app/id1205807363) - mô tả ứng dụng do nhà phát triển công bố</t>
  </si>
  <si>
    <t>36-37; 68-69; web</t>
  </si>
  <si>
    <t>Độ tin cậy: TB.</t>
  </si>
  <si>
    <t>Có rất ít công cụ sẵn có để cho phép khách hàng tùy chỉnh sản phẩm và dịch vụ.</t>
  </si>
  <si>
    <t>Một số công cụ có sẵn để cho phép khách hàng tùy chỉnh một số sản phẩm và dịch vụ.</t>
  </si>
  <si>
    <t>Một loạt các công cụ có sẵn để cho phép khách hàng tùy chỉnh tương đối đầy đủ cho một số sản phẩm và dịch vụ.</t>
  </si>
  <si>
    <t>Một loạt các công cụ được doanh nghiệp cung cấp cho phép khách hàng tùy chỉnh hoàn toàn cho các sản phẩm và dịch vụ của chính họ cùng một lúc.</t>
  </si>
  <si>
    <t>Một loạt các công cụ được doanh nghiệp và các đối tác trong hệ sinh thái của doanh nghiệp cung cấp cho phép khách hàng tùy chỉnh đầy đủ cho tất cả các sản phẩm và dịch vụ cùng một lúc.</t>
  </si>
  <si>
    <t>1.1.4</t>
  </si>
  <si>
    <t>Dễ sử dụng</t>
  </si>
  <si>
    <t>CES (chỉ số dễ dàng) 85,1; xử lý thành công 99,5% trên ~37 triệu request/ngày; App MBBank ~10 triệu giao dịch/ngày; tín dụng SME siêu nhỏ phê duyệt trong 1-2 ngày.</t>
  </si>
  <si>
    <t>56-57; 68-69; 172-173</t>
  </si>
  <si>
    <t>Độ tin cậy: Cao.</t>
  </si>
  <si>
    <t>Có rất ít hoạt động tương tác với doanh nghiệp khiến khách hàng cảm thấy dễ dàng được đáp ứng nhu cầu cá nhân.</t>
  </si>
  <si>
    <t>Một số tương tác với doanh nghiệp khiến khách hàng cảm thấy dễ dàng được đáp ứng nhu cầu cá nhân.</t>
  </si>
  <si>
    <t>Hầu hết các tương tác với doanh nghiệp khiến khách hàng cảm thấy dễ dàng được đáp ứng nhu cầu cá nhân.</t>
  </si>
  <si>
    <t>Tất cả các tương tác với doanh nghiệp khiến khách hàng cảm thấy dễ dàng được đáp ứng nhu cầu cá nhân.</t>
  </si>
  <si>
    <t>Tất cả các tương tác với doanh nghiệp và các đối tác trong hệ sinh thái của doanh nghiệp khiến khách hàng cảm thấy dễ dàng được đáp ứng nhu cầu cá nhân.</t>
  </si>
  <si>
    <t>1.1.5</t>
  </si>
  <si>
    <t>Mức độ hứng thú của khách hàng</t>
  </si>
  <si>
    <t>CSAT 91,7 điểm, NPS 67 điểm (tăng 4,6 điểm so với 2024) trên 1,5 triệu lượt khảo sát.</t>
  </si>
  <si>
    <t>172-173</t>
  </si>
  <si>
    <t>Độ tin cậy: Thấp. Dùng CSAT/NPS làm chỉ báo gián tiếp cho mức độ hứng thú; BCTN không có chỉ số 'hứng thú' riêng.</t>
  </si>
  <si>
    <t>Có rất ít hoạt động tương tác của khách hàng với doanh nghiệp khiến khách hàng cảm thấy thú vị.</t>
  </si>
  <si>
    <t>Một số hoạt động tương tác của khách hàng với doanh nghiệp khiến khách hàng cảm thấy thú vị.</t>
  </si>
  <si>
    <t>Hầu hết hoạt động tương tác của khách hàng với doanh nghiệp khiến khách hàng cảm thấy thú vị.</t>
  </si>
  <si>
    <t>Tất cả hoạt động tương tác của khách hàng với doanh nghiệp khiến khách hàng cảm thấy thú vị.</t>
  </si>
  <si>
    <t>Tất cả hoạt động tương tác của khách hàng với doanh nghiệp và các đối tác trong hệ sinh thái của doanh nghiệp khiến khách hàng cảm thấy thú vị.</t>
  </si>
  <si>
    <t>1.1.6</t>
  </si>
  <si>
    <t>Tương tác số</t>
  </si>
  <si>
    <t>Tỷ lệ giao dịch số ~99%; 35 triệu khách hàng, 90% được phục vụ trên kênh số; doanh thu kênh số 26.634 tỷ đồng (+35%), chiếm 50% doanh thu ngân hàng; dẫn đầu quy mô giao dịch số 3 năm liên tiếp.</t>
  </si>
  <si>
    <t>36-37; 56-57</t>
  </si>
  <si>
    <t>Độ tin cậy: Cao. Chưa chấm 5 vì chưa có tuyên bố mọi tương tác cùng đối tác đều số hóa.</t>
  </si>
  <si>
    <t>Có rất ít tương tác có thể được thực hiện trên các kênh số.</t>
  </si>
  <si>
    <t>Một số tương tác của khách hàng với doanh nghiệp có thể được thực hiện trên các kênh số.</t>
  </si>
  <si>
    <t>Hầu hết các tương tác của khách hàng với doanh nghiệp có thể được thực hiện trên các kênh số.</t>
  </si>
  <si>
    <t>Tất cả các tương tác của khách hàng với doanh nghiệp có thể được thực hiện trên các kênh số.</t>
  </si>
  <si>
    <t>Tất cả các tương tác của khách hàng với doanh nghiệp và các đối tác trong hệ sinh thái của doanh nghiệp có thể được thực hiện trên các kênh số.</t>
  </si>
  <si>
    <t>1.1.7</t>
  </si>
  <si>
    <t>Chủ động chăm sóc</t>
  </si>
  <si>
    <t>Bộ giải pháp App Protection 3 vòng bảo vệ (NFC, Zdefend/Bluesheild chống mã độc, rulebase và AI phân tích hành vi, kết nối A05 và Simo); mô hình fraud nội bộ ngăn giao dịch nghi ngờ.</t>
  </si>
  <si>
    <t>16-17; 174-175</t>
  </si>
  <si>
    <t>Độ tin cậy: TB. Chủ động chủ yếu ở mảng an ninh/gian lận.</t>
  </si>
  <si>
    <t>Có rất ít nhu cầu hoặc vấn đề của khách hàng được doanh nghiệp dự đoán trước.</t>
  </si>
  <si>
    <t>Một số nhu cầu hoặc vấn đề của khách hàng được doanh nghiệp dự đoán trước.</t>
  </si>
  <si>
    <t>Hầu hết các nhu cầu hoặc vấn đề của khách hàng đều được doanh nghiệp dự đoán trước.</t>
  </si>
  <si>
    <t>Tất cả các nhu cầu hoặc vấn đề của khách hàng đều được doanh nghiệp dự đoán trước.</t>
  </si>
  <si>
    <t>Tất cả các nhu cầu hoặc vấn đề của khách hàng đều được doanh nghiệp hoặc các đối tác trong hệ sinh thái của doanh nghiệp dự đoán trước.</t>
  </si>
  <si>
    <t>1.1.8</t>
  </si>
  <si>
    <t>Gắn kết xã hội</t>
  </si>
  <si>
    <t>Nền tảng Thiện Nguyện cán mốc 2 triệu tài khoản, gần 8.000 chiến dịch sau 4 năm; tài chính toàn diện qua đại lý ngân hàng/thanh toán; Diễn đàn MB Economic Insights lần 11.</t>
  </si>
  <si>
    <t>16-17; 36-37; 174-175</t>
  </si>
  <si>
    <t>Sự gắn kết xã hội chưa được xem xét.</t>
  </si>
  <si>
    <t>Ít nhất một đơn vị bộ phận, đơn vị chức năng có hoạt động thúc đẩy sự gắn kết xã hội với và giữa các khách hàng để khuyến khích sự trung thành.</t>
  </si>
  <si>
    <t>Hầu hết các đơn vị bộ phận, đơn vị chức năng có hoạt động thúc đẩy sự gắn kết xã hội với và giữa các khách hàng để khuyến khích sự trung thành.</t>
  </si>
  <si>
    <t>Toàn bộ các đơn vị bộ phận, đơn vị chức năng có hoạt động thúc đẩy sự gắn kết xã hội với và giữa các khách hàng để khuyến khích sự trung thành.</t>
  </si>
  <si>
    <t>Toàn bộ các đơn vị bộ phận, đơn vị chức năng của doanh nghiệp và các đối tác trong hệ sinh thái có hoạt động thúc đẩy sự gắn kết xã hội với và giữa các khách hàng để khuyến khích sự trung thành.</t>
  </si>
  <si>
    <t>1.1.9</t>
  </si>
  <si>
    <t>Thúc đẩy mức độ trung thành</t>
  </si>
  <si>
    <t>64-65</t>
  </si>
  <si>
    <t>Các chương trình thúc đẩy sự trung thành chưa được doanh nghiệp tích cực xem xét.</t>
  </si>
  <si>
    <t>Doanh nghiệp khuyến khích toàn bộ các bộ phận, đơn vị chức năng có liên quan đến khách hàng triển khai các hành động để thúc đẩy sự trung thành của khách hàng với thương hiệu.</t>
  </si>
  <si>
    <t>Một số bộ phận, đơn vị chức năng có hành động thực tế thúc đẩy sự trung thành của khách hàng với thương hiệu.</t>
  </si>
  <si>
    <t>Toàn bộ các bộ phận, đơn vị chức năng liên quan đến khách hàng có hành động thực tế thúc đẩy sự trung thành của khách hàng với thương hiệu.</t>
  </si>
  <si>
    <t>Toàn bộ các bộ phận, đơn vị chức năng liên quan đến khách hàng và hệ sinh thái có hành động thực tế thúc đẩy sự trung thành của khách hàng với thương hiệu.</t>
  </si>
  <si>
    <t>Quản lý trải nghiệm khách hàng</t>
  </si>
  <si>
    <t>1.2.1</t>
  </si>
  <si>
    <t>Tầm nhìn về trải nghiệm khách hàng</t>
  </si>
  <si>
    <t>Tầm nhìn 'Doanh nghiệp số, Tập đoàn tài chính dẫn đầu'; 'lấy khách hàng làm trung tâm'; hợp tác Qualtrics xây mô hình trải nghiệm KH hướng tới Top 5 châu Á về CX; mục tiêu 2026 Top 1 về Khách hàng, giao dịch.</t>
  </si>
  <si>
    <t>36-39; 172-173</t>
  </si>
  <si>
    <t>Doanh nghiệp chưa có bất kỳ tầm nhìn về trải nghiệm khách hàng.</t>
  </si>
  <si>
    <t>Một số bộ phận, đơn vị chức năng đã bắt đầu xác định tầm nhìn về trải nghiệm của khách hàng.</t>
  </si>
  <si>
    <t>Doanh nghiệp có một tầm nhìn về trải nghiệm khách hàng được xác định rõ ràng, được một số bộ phận, đơn vị chức năng áp dụng.</t>
  </si>
  <si>
    <t>Doanh nghiệp có tầm nhìn chung về trải nghiệm khách hàng được xác định rõ ràng và dễ hiểu.</t>
  </si>
  <si>
    <t>Doanh nghiệp và các đối tác trong hệ sinh thái của doanh nghiệp có tầm nhìn chung về trải nghiệm khách hàng được xác định rõ ràng và dễ hiểu.</t>
  </si>
  <si>
    <t>1.2.2</t>
  </si>
  <si>
    <t>Thiết kế theo định hướng của trải nghiệm khách hàng</t>
  </si>
  <si>
    <t>Khối Kinh doanh được tổ chức theo phân khúc, nghiên cứu hành vi, phục vụ theo hành trình trải nghiệm khách hàng; cải tiến mẫu biểu hướng tới trải nghiệm; dự án Qualtrics.</t>
  </si>
  <si>
    <t>26-27; 64-65; 172-173</t>
  </si>
  <si>
    <t>Trải nghiệm khách hàng chưa được xem xét một cách có chủ ý.</t>
  </si>
  <si>
    <t>Trải nghiệm khách hàng được xem xét bởi ít nhất một bộ phận, đơn vị chức năng của doanh nghiệp trong việc thiết kế và triển khai các sản phẩm và dịch vụ.</t>
  </si>
  <si>
    <t>Trải nghiệm khách hàng được xem xét bởi hầu hết các bộ phận, đơn vị chức năng của doanh nghiệp trong việc thiết kế và triển khai các sản phẩm và dịch vụ.</t>
  </si>
  <si>
    <t>Trải nghiệm khách hàng được doanh nghiệp xem xét đầy đủ trong thiết kế và triển khai các sản phẩm và dịch vụ.</t>
  </si>
  <si>
    <t>Trải nghiệm của khách hàng được doanh nghiệp và các đối tác trong hệ sinh thái của doanh nghiệp xem xét đầy đủ trong quá trình thiết kế và triển khai các sản phẩm và dịch vụ.</t>
  </si>
  <si>
    <t>1.2.3</t>
  </si>
  <si>
    <t>Có ngân sách đầu tư để đạt các mục tiêu trải nghiệm khách hàng</t>
  </si>
  <si>
    <t>Đầu tư hạ tầng công nghệ 16.800 tỷ đồng (2015-2025); 2026 tăng cường đầu tư CNTT để đáp ứng tăng trưởng và trải nghiệm.</t>
  </si>
  <si>
    <t>38-39; 68-69</t>
  </si>
  <si>
    <t>Độ tin cậy: TB. Là ngân sách công nghệ chung, chưa tách riêng ngân sách cho mục tiêu trải nghiệm khách hàng.</t>
  </si>
  <si>
    <t>Doanh nghiệp chưa có kế hoạch đầu tư để đạt được tầm nhìn trải nghiệm của khách hàng.</t>
  </si>
  <si>
    <t>Ít nhất một đơn vị bộ phận, đơn vị chức năng trong doanh nghiệp lên kế hoạch đầu tư để đạt được tầm nhìn trải nghiệm khách hàng của mình.</t>
  </si>
  <si>
    <t>Hầu hết các bộ phận, đơn vị chức năng trong doanh nghiệp đều lên kế hoạch đầu tư để đạt được tầm nhìn về trải nghiệm khách hàng của họ.</t>
  </si>
  <si>
    <t>Toàn bộ bộ phận, đơn vị chức năng có liên quan đến khách hàng có kế hoạch đầu tư để đạt được tầm nhìn về trải nghiệm của khách hàng.</t>
  </si>
  <si>
    <t>Toàn bộ bộ phận, đơn vị chức năng có liên quan đến khách hàng và hệ sinh thái có kế hoạch đầu tư để đạt được tầm nhìn về trải nghiệm của khách hàng.</t>
  </si>
  <si>
    <t>1.2.4</t>
  </si>
  <si>
    <t>Phạm vi danh mục sản phẩm và dịch vụ</t>
  </si>
  <si>
    <t>Danh mục siêu ứng dụng: App MBBank, BIZ MBBank, BeeRich, MB Junior, MB Seller, loa thanh toán MB, thẻ MB Mastercard Hi Green, L/C nhập khẩu online, tín dụng số SME siêu nhỏ.</t>
  </si>
  <si>
    <t>36-37; 68-69; 174-175</t>
  </si>
  <si>
    <t>Trải nghiệm khách hàng chưa được xem xét trong phát triển danh mục sản phẩm và dịch vụ.</t>
  </si>
  <si>
    <t>Trải nghiệm khách hàng là một phần của danh mục sản phẩm và dịch vụ được cung cấp bởi ít nhất một bộ phận, đơn vị chức năng.</t>
  </si>
  <si>
    <t>Trải nghiệm khách hàng là một phần không thể thiếu trong danh mục sản phẩm và dịch vụ được cung cấp bởi hầu hết các bộ phận, đơn vị chức năng.</t>
  </si>
  <si>
    <t>Trải nghiệm khách hàng là một phần không thể thiếu trong danh mục sản phẩm và dịch vụ do doanh nghiệp cung cấp.</t>
  </si>
  <si>
    <t>Trải nghiệm của khách hàng là một phần không thể thiếu trong danh mục sản phẩm và dịch vụ do doanh nghiệp và các đối tác trong hệ sinh thái của doanh nghiệp cung cấp.</t>
  </si>
  <si>
    <t>1.2.5</t>
  </si>
  <si>
    <t>Quá trình đăng ký sử dụng sản phẩm và dịch vụ</t>
  </si>
  <si>
    <t>Hoàn thành chuỗi số hóa: online 100% L/C nhập khẩu; SME siêu nhỏ phê duyệt trước theo dữ liệu, ký số CA cloud, giải ngân 24/7; eKYC/NFC bằng App Teller; thu hút ~5 triệu khách hàng mới; mở rộng mô hình đại lý.</t>
  </si>
  <si>
    <t>36-37; 68-69; 174-175; 208-209</t>
  </si>
  <si>
    <t>Trải nghiệm của khách hàng chưa được đưa vào quá trình tiếp cận và giới thiệu đăng ký sản phẩm và dịch vụ cho khách hàng mới.</t>
  </si>
  <si>
    <t>Có ít nhất một bộ phận, đơn vị chức năng đưa trải nghiệm khách hàng vào quá trình tiếp cận và giới thiệu đăng ký sản phẩm và dịch vụ dành cho khách hàng mới.</t>
  </si>
  <si>
    <t>Hầu hết các bộ phận, đơn vị chức năng đưa trải nghiệm khách hàng vào quá trình tiếp cận và giới thiệu đăng ký sản phẩm và dịch vụ dành cho khách hàng mới.</t>
  </si>
  <si>
    <t>Toàn bộ doanh nghiệp đưa trải nghiệm khách hàng vào quá trình tiếp cận và giới thiệu đăng ký sản phẩm và dịch vụ dành cho khách hàng mới.</t>
  </si>
  <si>
    <t>Toàn bộ doanh nghiệp và hệ sinh thái của doanh nghiệp đưa trải nghiệm khách hàng được đưa vào quá trình tiếp cận và giới thiệu đăng ký sản phẩm và dịch vụ dành cho khách hàng mới.</t>
  </si>
  <si>
    <t>1.2.6</t>
  </si>
  <si>
    <t>Đa kênh hợp nhất</t>
  </si>
  <si>
    <t>MB247 tiếp nhận qua điện thoại, email, chat trên App MBBank/BIZ MBBank, App to Call (từ 10/2024), Facebook, website, chợ ứng dụng; chăm sóc đa kênh.</t>
  </si>
  <si>
    <t>Độ tin cậy: TB. Chưa có tuyên bố bối cảnh hành trình được giữ liền mạch giữa các kênh.</t>
  </si>
  <si>
    <t>Khách hàng chưa thể bắt đầu hành trình trên một kênh/thiết bị và tiếp tục ở một kênh/thiết bị khác.</t>
  </si>
  <si>
    <t>Doanh nghiệp quản lý được bối cảnh của một số cấu phần trong hành trình khách hàng liên thông trên hầu hết các kênh và thiết bị.</t>
  </si>
  <si>
    <t>Doanh nghiệp quản lý được bối cảnh của hầu hết các hành trình khách hàng liên thông trên hầu hết các kênh và thiết bị.</t>
  </si>
  <si>
    <t>Doanh nghiệp quản lý được bối cảnh của toàn bộ các hành trình khách hàng liên thông trên tất cả các kênh và thiết bị.</t>
  </si>
  <si>
    <t>Doanh nghiệp và hệ sinh thái quản lý được bối cảnh của toàn bộ các hành trình khách hàng liên thông trên tất cả các kênh và thiết bị.</t>
  </si>
  <si>
    <t>1.2.7</t>
  </si>
  <si>
    <t>Đo lường trải nghiệm khách hàng</t>
  </si>
  <si>
    <t>Đo CSAT, NPS, CES định kỳ trên 1,5 triệu lượt khảo sát năm 2025 và theo từng kênh MB247 (Call, App to Call, AutoCall, Bot, Chat); kết quả vượt mục tiêu 2025.</t>
  </si>
  <si>
    <t>Hiệu suất hành trình khách hàng chưa được đo lường.</t>
  </si>
  <si>
    <t>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t>
  </si>
  <si>
    <t>Doanh nghiệp đo lường được hiệu quả của tất cả hành trình khách hàng và một số giai đoạn riêng lẻ trong hành trình của khách hàng.</t>
  </si>
  <si>
    <t>Doanh nghiệp đo lường được hiệu quả của tất cả hành trình khách hàng và các giai đoạn riêng lẻ trong hành trình của khách hàng.</t>
  </si>
  <si>
    <t>Doanh nghiệp và hệ sinh thái đo lường được hiệu quả của tất cả hành trình khách hàng và các giai đoạn riêng lẻ trong hành trình của khách hàng.</t>
  </si>
  <si>
    <t>1.2.8</t>
  </si>
  <si>
    <t>Quản lý hành trình khách hàng</t>
  </si>
  <si>
    <t>Mô hình tổ chức bán lẻ theo hành trình khách hàng; hợp tác Qualtrics xây dựng mô hình trải nghiệm KH; quản lý chất lượng dịch vụ toàn hệ thống.</t>
  </si>
  <si>
    <t>26-27; 172-173</t>
  </si>
  <si>
    <t>Hiệu suất của hành trình của khách hàng chưa được quản lý.</t>
  </si>
  <si>
    <t>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t>
  </si>
  <si>
    <t>Doanh nghiệp quản lý được hiệu quả của tất cả hành trình khách hàng và một số giai đoạn riêng lẻ trong hành trình của khách hàng.</t>
  </si>
  <si>
    <t>Doanh nghiệp quản lý được hiệu quả của tất cả hành trình khách hàng và các giai đoạn riêng lẻ trong hành trình của khách hàng.</t>
  </si>
  <si>
    <t>Doanh nghiệp và hệ sinh thái quản lý được hiệu quả của tất cả hành trình khách hàng và các giai đoạn riêng lẻ trong hành trình của khách hàng.</t>
  </si>
  <si>
    <t>Thấu hiểu khách hàng</t>
  </si>
  <si>
    <t>1.3.1</t>
  </si>
  <si>
    <t>Góc nhìn 360 độ về khách hàng</t>
  </si>
  <si>
    <t>CRM quản lý thông tin khách hàng; Big Data tổng hợp từ nhiều nguồn để xây hồ sơ rủi ro toàn diện của khách hàng; mô hình chấm điểm theo vòng đời khách hàng (~200 mô hình).</t>
  </si>
  <si>
    <t>48-49; 208-209</t>
  </si>
  <si>
    <t>Doanh nghiệp chưa có góc nhìn 360 độ về khách hàng.</t>
  </si>
  <si>
    <t>Doanh nghiệp duy trì góc nhìn 360 độ của một số khách hàng.</t>
  </si>
  <si>
    <t>Doanh nghiệp duy trì góc nhìn 360 độ của hầu hết khách hàng.</t>
  </si>
  <si>
    <t>Doanh nghiệp luôn duy trì góc nhìn 360 độ về tất cả khách hàng.</t>
  </si>
  <si>
    <t>Doanh nghiệp và các đối tác trong hệ sinh thái của mình luôn duy trì góc nhìn 360 độ về tất cả khách hàng.</t>
  </si>
  <si>
    <t>1.3.2</t>
  </si>
  <si>
    <t>Nguồn khai thác dữ liệu tin cậy duy nhất</t>
  </si>
  <si>
    <t>Khối Dữ liệu được tái thiết kế để tập trung hóa chức năng cung cấp dữ liệu của toàn hàng, tối ưu SLA cung cấp sản phẩm dữ liệu.</t>
  </si>
  <si>
    <t>26-27</t>
  </si>
  <si>
    <t>Độ tin cậy: TB. Chưa có tuyên bố rõ về 'nguồn tin cậy duy nhất' cho dữ liệu khách hàng.</t>
  </si>
  <si>
    <t>Doanh nghiệp chưa có một nguồn tin cậy duy nhất cho bất kỳ thông tin nào của khách hàng.</t>
  </si>
  <si>
    <t>Có một nguồn tin cậy duy nhất cho một số yếu tố của thông tin khách hàng trong toàn doanh nghiệp.</t>
  </si>
  <si>
    <t>Có một nguồn tin cậy duy nhất cho hầu hết các yếu tố thông tin khách hàng trong toàn doanh nghiệp.</t>
  </si>
  <si>
    <t>Có một nguồn tin cậy duy nhất cho toàn bộ thông tin khách hàng trong toàn doanh nghiệp.</t>
  </si>
  <si>
    <t>Có một nguồn tin cậy duy nhất cho toàn bộ thông tin khách hàng trong toàn doanh nghiệp và các đối tác trong hệ sinh thái của doanh nghiệp.</t>
  </si>
  <si>
    <t>1.3.3</t>
  </si>
  <si>
    <t>Nhu cầu của khách hàng</t>
  </si>
  <si>
    <t>Nghiên cứu hành vi theo phân khúc; Big Data tìm hiểu nhu cầu, hành vi khách hàng; khảo sát CSAT/NPS/CES quy mô 1,5 triệu lượt.</t>
  </si>
  <si>
    <t>26-27; 172-173; 208-209</t>
  </si>
  <si>
    <t>Kỳ vọng, sở thích và những điều khách hàng chưa hài lòng chưa được tích cực xem xét.</t>
  </si>
  <si>
    <t>Kỳ vọng, sở thích và những điều khách hàng chưa hài lòng tích cực xem xét ở một số bộ phận, đơn vị chức năng.</t>
  </si>
  <si>
    <t>Kỳ vọng, sở thích và những điều khách hàng chưa hài lòng được tích cực xem xét trên hầu hết các bộ phận, đơn vị chức năng.</t>
  </si>
  <si>
    <t>Tất cả các kỳ vọng, sở thích và những điều khách hàng chưa hài lòng đều được tích cực xem xét trong toàn doanh nghiệp.</t>
  </si>
  <si>
    <t>Tất cả các kỳ vọng, sở thích và những điều khách hàng chưa hài lòng đều được tích cực xem xét trong toàn doanh nghiệp và các đối tác trong hệ sinh thái của doanh nghiệp.</t>
  </si>
  <si>
    <t>Niềm tin của khách hàng</t>
  </si>
  <si>
    <t>1.4.1</t>
  </si>
  <si>
    <t>Cam kết thương hiệu</t>
  </si>
  <si>
    <t>Cam kết về thương hiệu hiếm khi phù hợp với kỳ vọng của khách hàng.</t>
  </si>
  <si>
    <t>Một số bộ phận, đơn vị chức năng (có liên quan đến cam kết thương hiệu) trong doanh nghiệp đáp ứng các kỳ vọng của khách hàng phù hợp với cam kết thương hiệu của doanh nghiệp.</t>
  </si>
  <si>
    <t>Hầu hết bộ phận, đơn vị chức năng (có liên quan đến cam kết thương hiệu) trong doanh nghiệp đáp ứng các kỳ vọng của khách hàng phù hợp với cam kết thương hiệu của doanh nghiệp.</t>
  </si>
  <si>
    <t>Toàn bộ các bộ phận, đơn vị chức năng (có liên quan đến cam kết thương hiệu) trong doanh nghiệp đáp ứng các kỳ vọng của khách hàng phù hợp với cam kết thương hiệu của doanh nghiệp.</t>
  </si>
  <si>
    <t>Toàn bộ các bộ phận, đơn vị chức năng (có liên quan đến cam kết thương hiệu) trong doanh nghiệp và hệ sinh thái doanh nghiệp đáp ứng các kỳ vọng của khách hàng phù hợp với cam kết thương hiệu của doanh nghiệp.</t>
  </si>
  <si>
    <t>1.4.2</t>
  </si>
  <si>
    <t>Xử lý phản ánh khách hàng</t>
  </si>
  <si>
    <t>Có kênh tiếp nhận khiếu nại (điểm giao dịch, văn thư, email), quy trình tiếp nhận-xử lý-phản hồi; số đơn thư năm 2025 tăng; chủ yếu là yêu cầu giải đáp, tư vấn.</t>
  </si>
  <si>
    <t>166-167</t>
  </si>
  <si>
    <t>Độ tin cậy: TB. Chưa có số liệu tỷ lệ xử lý đúng hạn.</t>
  </si>
  <si>
    <t>Khiếu nại nhận được hiếm khi được trả lời hoặc rút kinh nghiệm một cách thích hợp.</t>
  </si>
  <si>
    <t>Một số khiếu nại nhận được được phản hồi một cách thích hợp và có những cải tiến liên quan.</t>
  </si>
  <si>
    <t>Hầu hết các khiếu nại nhận được đều được phản hồi một cách thích hợp và dẫn tới các cải tiến liên quan.</t>
  </si>
  <si>
    <t>Toàn bộ các khiếu nại nhận được đều được phản hồi một cách thích hợp và có sự cải tiến liên tục trong toàn doanh nghiệp.</t>
  </si>
  <si>
    <t>Toàn bộ các khiếu nại nhận được đều được phản hồi một cách thích hợp và có sự cải tiến liên tục trong toàn doanh nghiệp và các đối tác trong hệ sinh thái của doanh nghiệp.</t>
  </si>
  <si>
    <t>1.4.3</t>
  </si>
  <si>
    <t>Quyền riêng tư</t>
  </si>
  <si>
    <t>Công bố Chính sách Bảo mật thông tin và Chính sách bảo vệ dữ liệu cá nhân trên website; năm 2025 không xảy ra rò rỉ/thất thoát dữ liệu khách hàng.</t>
  </si>
  <si>
    <t>164-165</t>
  </si>
  <si>
    <t>Khách hàng chưa tin tưởng doanh nghiệp sẽ đảm bảo quyền riêng tư của họ.</t>
  </si>
  <si>
    <t>Một số khách hàng tin tưởng doanh nghiệp sẽ thiết kế đảm bảo quyền riêng tư của họ.</t>
  </si>
  <si>
    <t>Hầu hết khách hàng tin tưởng doanh nghiệp sẽ thiết kế đảm bảo quyền riêng tư của họ.</t>
  </si>
  <si>
    <t>Toàn bộ khách hàng tin tưởng doanh nghiệp sẽ thiết kế đảm bảo quyền riêng tư của họ.</t>
  </si>
  <si>
    <t>Toàn bộ khách hàng tin tưởng doanh nghiệp và hệ sinh thái của doanh nghiệp sẽ thiết kế đảm bảo quyền riêng tư của họ.</t>
  </si>
  <si>
    <t>1.4.4</t>
  </si>
  <si>
    <t>Kiểm soát thông tin cá nhân, dữ liệu cá nhân</t>
  </si>
  <si>
    <t>Chưa tìm thấy minh chứng về quyền kiểm soát dữ liệu cá nhân của khách hàng.</t>
  </si>
  <si>
    <t>Người dùng chưa thể kiểm soát cách thông tin cá nhân, dữ liệu cá nhân của họ được sử dụng.</t>
  </si>
  <si>
    <t>Người dùng có thể kiểm soát cách doanh nghiệp sử dụng một số thông tin cá nhân, dữ liệu cá nhân của họ.</t>
  </si>
  <si>
    <t>Người dùng có thể kiểm soát cách doanh nghiệp sử dụng hầu hết thông tin cá nhân, dữ liệu cá nhân của họ.</t>
  </si>
  <si>
    <t>Người dùng nhận thức được và có thể dễ dàng kiểm soát cách doanh nghiệp sử dụng tất cả thông tin cá nhân, dữ liệu cá nhân của họ.</t>
  </si>
  <si>
    <t>Người dùng biết và có thể dễ dàng kiểm soát cách doanh nghiệp và các đối tác trong hệ sinh thái sử dụng tất cả thông tin cá nhân, dữ liệu cá nhân của họ.</t>
  </si>
  <si>
    <t>1.4.5</t>
  </si>
  <si>
    <t>Thúc đẩy niềm tin khách hàng</t>
  </si>
  <si>
    <t>Không rò rỉ dữ liệu khách hàng 2025; ISO/IEC 27001:2013, PCI DSS, SWIFT CSP; hơn 657.000 cảnh báo an ninh được xử lý; đào tạo ATTT 13.348 lượt nhân sự; xác thực sinh trắc học cho giao dịch tài chính.</t>
  </si>
  <si>
    <t>48-49; 56-57; 164-165; 210-211</t>
  </si>
  <si>
    <t>Niềm tin của khách hàng chưa được đưa vào xem xét trong định hướng kinh doanh của doanh nghiệp.</t>
  </si>
  <si>
    <t>Một số bộ phận, đơn vị chức năng tiến hành kinh doanh theo cách thúc đẩy tạo niềm tin cho khách hàng.</t>
  </si>
  <si>
    <t>Hầu hết các bộ phận, đơn vị chức năng tiến hành kinh doanh theo cách thúc đẩy vào sự tin tưởng của khách hàng.</t>
  </si>
  <si>
    <t>Hoạt động kinh doanh được thực hiện bởi doanh nghiệp theo cách tối đa hóa niềm tin của khách hàng.</t>
  </si>
  <si>
    <t>Hoạt động kinh doanh được thực hiện bởi doanh nghiệp và các đối tác trong hệ sinh thái của doanh nghiệp theo cách tối đa hóa niềm tin của khách hàng.</t>
  </si>
  <si>
    <t>Quản lý marketing và thương hiệu</t>
  </si>
  <si>
    <t>2.1.1</t>
  </si>
  <si>
    <t>Chiến lược thương hiệu</t>
  </si>
  <si>
    <t>vnba.org.vn, tin MB: Brand Finance 2025 (giá trị thương hiệu 1,6 tỷ USD); Mibrand Top 30 (22/04/2025)</t>
  </si>
  <si>
    <t>web</t>
  </si>
  <si>
    <t>Độ tin cậy: Thấp. Là xếp hạng bên ngoài; chưa thấy văn bản chiến lược thương hiệu số.</t>
  </si>
  <si>
    <t>Chiến lược thương hiệu số chưa tồn tại hoặc chỉ tồn tại theo sự vụ.</t>
  </si>
  <si>
    <t>Chiến lược thương hiệu số với nguyên tắc thương hiệu được áp dụng và hiểu tại một số bộ phận, đơn vị chức năng.</t>
  </si>
  <si>
    <t>Một chiến lược thương hiệu số với nguyên tắc thương hiệu được hiểu và áp dụng bởi hầu hết các bộ phận, đơn vị chức năng.</t>
  </si>
  <si>
    <t>Một chiến lược thương hiệu số với nguyên tắc thương hiệu được áp dụng và được hiểu trong toàn bộ doanh nghiệp.</t>
  </si>
  <si>
    <t>Một chiến lược thương hiệu số thống nhất với các nguyên tắc thương hiệu được áp dụng và được hiểu trong toàn bộ doanh nghiệp và các đối tác trong hệ sinh thái của doanh nghiệp.</t>
  </si>
  <si>
    <t>2.1.2</t>
  </si>
  <si>
    <t>Quản trị thương hiệu</t>
  </si>
  <si>
    <t>Quản trị thương hiệu kỹ thuật số chưa tồn tại hoặc là tồn tại theo sự vụ.</t>
  </si>
  <si>
    <t>Một số bộ phận, đơn vị chức năng tuân thủ theo các quy tắc được thiết lập trong cấu trúc quản trị.</t>
  </si>
  <si>
    <t>Hầu hết các bộ phận, đơn vị chức năng tuân thủ các quy tắc được thiết lập trong cấu trúc quản trị.</t>
  </si>
  <si>
    <t>Toàn bộ doanh nghiệp tuân thủ các quy tắc được thiết lập trong cơ cấu quản trị.</t>
  </si>
  <si>
    <t>Toàn bộ doanh nghiệp và các đối tác trong hệ sinh thái của doanh nghiệp tuân thủ các quy tắc được thiết lập trong cơ cấu quản trị.</t>
  </si>
  <si>
    <t>2.1.3</t>
  </si>
  <si>
    <t>Chỉ số đo lường thương hiệu</t>
  </si>
  <si>
    <t>Brand Finance là đánh giá bên ngoài, không phải quy trình đo lường nội bộ.</t>
  </si>
  <si>
    <t>Chỉ số phản ánh hoạt động của thương hiệu số được đo lường theo sự vụ.</t>
  </si>
  <si>
    <t>Có một quy trình được thực hiện ở một số bộ phận, đơn vị chức năng để đo lường chỉ số phản ánh hoạt động của thương hiệu số.</t>
  </si>
  <si>
    <t>Có một quy trình được áp dụng trên hầu hết các bộ phận, đơn vị chức năng để đo lường chỉ số phản ánh hoạt động của thương hiệu số.</t>
  </si>
  <si>
    <t>Có một quy trình hiệu quả trong toàn bộ doanh nghiệp để đo lường chỉ số phản ánh hoạt động của thương hiệu số.</t>
  </si>
  <si>
    <t>Có một quy trình hiệu quả được áp dụng trong toàn bộ doanh nghiệp và các đối tác trong hệ sinh thái của doanh nghiệp để đo lường chỉ số phản ánh hoạt động của thương hiệu số.</t>
  </si>
  <si>
    <t>2.1.4</t>
  </si>
  <si>
    <t>Chiến lược tiếp thị</t>
  </si>
  <si>
    <t>Kế hoạch tăng trưởng nhiều năm: phân khúc khách hàng, chương trình giới thiệu, ưu đãi gia đình, định vị lại ứng dụng.</t>
  </si>
  <si>
    <t>prophet.com, case study 'MB Bank - Creating a Digital Banking Powerhouse'</t>
  </si>
  <si>
    <t>Độ tin cậy: Thấp. Nguồn đối tác tư vấn, năm không rõ. Năm ước tính, cần xác minh ngày đăng.</t>
  </si>
  <si>
    <t>Chiến lược tiếp thị số chưa phù hợp với chiến lược tổng thể.</t>
  </si>
  <si>
    <t>Một số bộ phận, đơn vị chức năng có chiến lược tiếp thị số phù hợp với chiến lược tổng thể.</t>
  </si>
  <si>
    <t>Hầu hết các bộ phận, đơn vị chức năng đều có chiến lược tiếp thị số phù hợp với chiến lược tổng thể.</t>
  </si>
  <si>
    <t>Toàn bộ doanh nghiệp có chiến lược tiếp thị số phù hợp với chiến lược tổng thể.</t>
  </si>
  <si>
    <t>Toàn bộ doanh nghiệp và các đối tác trong hệ sinh thái của doanh nghiệp thống nhất về chiến lược tiếp thị số phù hợp với chiến lược hệ sinh thái tổng thể.</t>
  </si>
  <si>
    <t>Quản lý hệ sinh thái</t>
  </si>
  <si>
    <t>2.2.1</t>
  </si>
  <si>
    <t>Hệ sinh thái kinh doanh</t>
  </si>
  <si>
    <t>Hệ sinh thái Tập đoàn (MBS, MIC, MB Life, Mcredit, MBCapital, MBV...) và BaaS: hơn 1.000 kết nối API, 1.100 đối tác; mục tiêu 2026 doanh thu bán chéo tăng tối thiểu 30%/năm.</t>
  </si>
  <si>
    <t>36-37; 38-39; 80-83</t>
  </si>
  <si>
    <t>Doanh nghiệp chưa nhận thức được giá trị kinh doanh của việc tham gia hệ sinh thái.</t>
  </si>
  <si>
    <t>Doanh nghiệp thể hiện sự hiểu biết một phần về giá trị của việc tham gia hệ sinh thái và vai trò của doanh nghiệp trong đó.</t>
  </si>
  <si>
    <t>Doanh nghiệp thể hiện sự hiểu biết đầy đủ về giá trị của việc tham gia hệ sinh thái và vai trò của doanh nghiệp trong đó.</t>
  </si>
  <si>
    <t>Doanh nghiệp thể hiện sự hiểu biết đầy đủ về giá trị và đã bắt đầu xác định chiến lược tham gia hệ sinh thái và vai trò của doanh nghiệp trong đó.</t>
  </si>
  <si>
    <t>Doanh nghiệp thể hiện sự hiểu biết đầy đủ về giá trị của việc tham gia hệ sinh thái và đã xác định chiến lược hệ sinh thái và vai trò của doanh nghiệp trong đó.</t>
  </si>
  <si>
    <t>2.2.2</t>
  </si>
  <si>
    <t>Thiết kế hệ sinh thái</t>
  </si>
  <si>
    <t>Phát triển hệ sinh thái tài chính mở, BaaS với API tự phát triển; thiết lập Hội đồng điều phối Tập đoàn; mở rộng hợp tác đối tác chiến lược và lĩnh vực mới (vàng, FDI, tài sản số).</t>
  </si>
  <si>
    <t>26-27; 38-39; 56-57</t>
  </si>
  <si>
    <t>Doanh nghiệp chưa bắt đầu thiết kế hệ sinh thái.</t>
  </si>
  <si>
    <t>Doanh nghiệp đã bắt đầu thiết kế các hệ sinh thái để thúc đẩy chiến lược của mình.</t>
  </si>
  <si>
    <t>Doanh nghiệp đã thiết kế các hệ sinh thái để thúc đẩy chiến lược của mình nhằm gia tăng các dòng giá trị hiện có.</t>
  </si>
  <si>
    <t>Doanh nghiệp đã thiết kế các hệ sinh thái bền vững và mở rộng chiến lược của mình để tập trung vượt ra ngoài lĩnh vực hoạt động, mở ra các luồng giá trị mới.</t>
  </si>
  <si>
    <t>Doanh nghiệp đã thiết kế các hệ sinh thái bền vững và mở rộng chiến lược của mình bằng cách triển khai các năng lực liên ngành cho phép tạo ra các luồng giá trị mới.</t>
  </si>
  <si>
    <t>2.2.3</t>
  </si>
  <si>
    <t>Lựa chọn đối tác</t>
  </si>
  <si>
    <t>Đối tác chiến lược của các công ty thành viên (SBI Shinsei, Ageas, Muang Thai Life), hơn 1.100 đối tác trên BaaS, hợp tác Qualtrics; mô hình đại lý ngân hàng/thanh toán.</t>
  </si>
  <si>
    <t>36-37; 82-83; 174-175</t>
  </si>
  <si>
    <t>Doanh nghiệp chưa chọn đối tác như một phần của hệ sinh thái.</t>
  </si>
  <si>
    <t>Doanh nghiệp đã chọn các đối tác hệ sinh thái để hỗ trợ chiến lược của mình.</t>
  </si>
  <si>
    <t>Doanh nghiệp đã thiết lập quan hệ đối tác hệ sinh thái đang hỗ trợ chiến lược của mình.</t>
  </si>
  <si>
    <t>Doanh nghiệp đã thiết lập quan hệ đối tác hệ sinh thái tối ưu nâng cao chiến lược của mình ngoài ngành truyền thống (ngành lĩnh vực đang hoạt động của doanh nghiệp).</t>
  </si>
  <si>
    <t>Doanh nghiệp đã thiết lập quan hệ đối tác hệ sinh thái tối ưu và triển khai các năng lực liên ngành, tạo điều kiện cho các luồng giá trị mới.</t>
  </si>
  <si>
    <t>Bảo trợ tài chính</t>
  </si>
  <si>
    <t>2.3.1</t>
  </si>
  <si>
    <t>Ngân sách cho chuyển đổi số</t>
  </si>
  <si>
    <t>Tổng đầu tư hạ tầng công nghệ 2015-2025: 16.800 tỷ đồng (121 phần mềm ứng dụng, 574 CSDL, 7.602 server, 23.700 TB lưu trữ); hơn 2.500 nhân sự công nghệ; 2026 tiếp tục tăng đầu tư CNTT. Chủ tịch HĐQT cho biết khoảng 100 triệu USD/năm trong 7 năm cho chuyển đổi số.</t>
  </si>
  <si>
    <t>MB, Báo cáo thường niên 2025 (công bố 30/03/2026); doanhnghiephoinhap.vn, 'Chủ tịch MB đề xuất được tự chủ trả lương' - ông Lưu Trung Thái: ~100 triệu USD/năm cho chuyển đổi số suốt 7 năm (04/2025)</t>
  </si>
  <si>
    <t>16-17; 38-39; 56-57; 68-69; web</t>
  </si>
  <si>
    <t>Doanh nghiệp chưa có ngân sách cho chuyển đổi số.</t>
  </si>
  <si>
    <t>Ngân sách sẵn có và linh hoạt để chuyển đổi số ở một số bộ phận, đơn vị chức năng.</t>
  </si>
  <si>
    <t>Ngân sách sẵn có và linh hoạt để chuyển đổi số trên hầu hết các bộ phận, đơn vị chức năng.</t>
  </si>
  <si>
    <t>Ngân sách luôn sẵn sàng và linh hoạt để chuyển đổi số trên toàn bộ doanh nghiệp.</t>
  </si>
  <si>
    <t>Ngân sách luôn sẵn sàng và linh hoạt để chuyển đổi số trên toàn bộ doanh nghiệp và các đối tác trong hệ sinh thái của doanh nghiệp.</t>
  </si>
  <si>
    <t>2.3.2</t>
  </si>
  <si>
    <t>Đo lường hiệu quả đầu tư</t>
  </si>
  <si>
    <t>KPI đánh giá các quyết định đầu tư chỉ được thiết lập theo sự vụ.</t>
  </si>
  <si>
    <t>Một số bộ phận, đơn vị chức năng có sẵn KPIs để đánh giá các quyết định đầu tư.</t>
  </si>
  <si>
    <t>Hầu hết bộ phận, đơn vị chức năng sử dụng KPIs để đánh giá các quyết định đầu tư.</t>
  </si>
  <si>
    <t>KPI để đánh giá các quyết định đầu tư được sử dụng trên toàn bộ doanh nghiệp.</t>
  </si>
  <si>
    <t>KPI để đánh giá các quyết định đầu tư được sử dụng trên toàn bộ doanh nghiệp và các đối tác trong hệ sinh thái của doanh nghiệp.</t>
  </si>
  <si>
    <t>2.3.3</t>
  </si>
  <si>
    <t>Đầu tư cải tiến liên tục</t>
  </si>
  <si>
    <t>Quyết định đầu tư chưa được cải thiện dựa trên kết quả trong quá khứ.</t>
  </si>
  <si>
    <t>Quyết định đầu tư được cải thiện tại một số bộ phận, đơn vị chức năng.</t>
  </si>
  <si>
    <t>Các quyết định đầu tư liên tục được cải thiện trên hầu hết các bộ phận, đơn vị chức năng.</t>
  </si>
  <si>
    <t>Các quyết định đầu tư liên tục được cải thiện trong toàn doanh nghiệp.</t>
  </si>
  <si>
    <t>Các quyết định đầu tư liên tục được cải thiện trong toàn doanh nghiệp và các đối tác trong hệ sinh thái của nó.</t>
  </si>
  <si>
    <t>Hiểu biết về thị trường</t>
  </si>
  <si>
    <t>2.4.1</t>
  </si>
  <si>
    <t>Đánh giá xu hướng ngành</t>
  </si>
  <si>
    <t>Đánh giá xu hướng ngành chỉ được thực hiện theo sự vụ.</t>
  </si>
  <si>
    <t>Một số bộ phận, đơn vị chức năng đánh giá xu hướng ngành để thúc đẩy chiến lược số của họ.</t>
  </si>
  <si>
    <t>Hầu hết các bộ phận, đơn vị chức năng đánh giá xu hướng ngành để thúc đẩy chiến lược số của họ.</t>
  </si>
  <si>
    <t>Toàn bộ doanh nghiệp đánh giá xu hướng ngành để thúc đẩy chiến lược số của mình.</t>
  </si>
  <si>
    <t>Toàn bộ doanh nghiệp và các đối tác trong hệ sinh thái của doanh nghiệp đánh giá xu hướng ngành để thúc đẩy chiến lược số của họ.</t>
  </si>
  <si>
    <t>2.4.2</t>
  </si>
  <si>
    <t>Đánh giá nhu cầu của khách hàng</t>
  </si>
  <si>
    <t>Phân tích nhu cầu của khách hàng chỉ được thực hiện theo sự vụ.</t>
  </si>
  <si>
    <t>Một số bộ phận, đơn vị chức năng phân tích nhu cầu của khách hàng để thúc đẩy chiến lược số của họ.</t>
  </si>
  <si>
    <t>Hầu hết các bộ phận, đơn vị chức năng phân tích nhu cầu của khách hàng để thúc đẩy chiến lược số của họ.</t>
  </si>
  <si>
    <t>Toàn bộ doanh nghiệp phân tích và dự đoán nhu cầu của khách hàng để thúc đẩy chiến lược số của mình.</t>
  </si>
  <si>
    <t>Toàn bộ doanh nghiệp và các đối tác trong hệ sinh thái của mình phân tích và dự đoán nhu cầu của khách hàng để thúc đẩy chiến lược số của họ.</t>
  </si>
  <si>
    <t>2.4.3</t>
  </si>
  <si>
    <t>Đánh giá mạng lưới giá trị</t>
  </si>
  <si>
    <t>Đánh giá kết cấu giá trị chỉ được thực hiện theo sự vụ.</t>
  </si>
  <si>
    <t>Một số bộ phận, đơn vị chức năng phân tích mạng lưới giá trị để thúc đẩy chiến lược số của họ.</t>
  </si>
  <si>
    <t>Hầu hết các bộ phận, đơn vị chức năng phân tích mạng lưới giá trị để thúc đẩy chiến lược số của họ.</t>
  </si>
  <si>
    <t>Toàn bộ doanh nghiệp phân tích và dự đoán mạng lưới giá trị để thúc đẩy chiến lược số của mình.</t>
  </si>
  <si>
    <t>Toàn bộ doanh nghiệp và các đối tác trong hệ sinh thái của doanh nghiệp phân tích và dự đoán mạng lưới giá trị để thúc đẩy chiến lược số của họ.</t>
  </si>
  <si>
    <t>Quản lý danh mục sản phẩm, dịch vụ số</t>
  </si>
  <si>
    <t>2.5.1</t>
  </si>
  <si>
    <t>Cân đối danh mục sản phẩm và dịch vụ</t>
  </si>
  <si>
    <t>Danh mục đa dạng: ngân hàng, chứng khoán MBS, bảo hiểm (MB Ageas Life, MIC), tài chính tiêu dùng (MB Shinsei); công ty thành viên đóng góp 10,7% TOI.</t>
  </si>
  <si>
    <t>SHS, Báo cáo phân tích MBB (04/07/2025)</t>
  </si>
  <si>
    <t>Cân bằng danh mục đầu tư chỉ được thực hiện theo sự vụ.</t>
  </si>
  <si>
    <t>Một số bộ phận, đơn vị chức năng có danh mục sản phẩm và dịch vụ số phù hợp một phần với chiến lược của doanh nghiệp.</t>
  </si>
  <si>
    <t>Hầu hết các bộ phận, đơn vị chức năng đều có danh mục sản phẩm và dịch vụ số cân bằng, phù hợp nhất với chiến lược của doanh nghiệp.</t>
  </si>
  <si>
    <t>Toàn bộ doanh nghiệp có một danh mục sản phẩm và dịch vụ số cân bằng phù hợp nhất với chiến lược của mình.</t>
  </si>
  <si>
    <t>Toàn bộ doanh nghiệp và các đối tác trong hệ sinh thái của doanh nghiệp có một danh mục sản phẩm và dịch vụ số cân bằng, phù hợp nhất với chiến lược chung của mình.</t>
  </si>
  <si>
    <t>2.5.2</t>
  </si>
  <si>
    <t>Lộ trình danh mục sản phẩm và dịch vụ</t>
  </si>
  <si>
    <t>Chiến lược tập đoàn 2022-2026, định hướng đến 2029 (40 triệu khách hàng; tài sản BQ +14%/năm); trọng tâm chuyển đổi 2026 với mục tiêu doanh thu số ~60%.</t>
  </si>
  <si>
    <t>38-39</t>
  </si>
  <si>
    <t>Lộ trình danh mục đầu tư chỉ được thực hiện theo sự vụ.</t>
  </si>
  <si>
    <t>Một số bộ phận, đơn vị chức năng có lộ trình danh mục sản phẩm và dịch vụ số phù hợp một phần với chiến lược của doanh nghiệp.</t>
  </si>
  <si>
    <t>Hầu hết các bộ phận, đơn vị chức năng đều có lộ trình danh mục sản phẩm và dịch vụ số phù hợp nhất với chiến lược của doanh nghiệp.</t>
  </si>
  <si>
    <t>Toàn bộ doanh nghiệp có lộ trình danh mục sản phẩm và dịch vụ số phù hợp nhất với chiến lược của mình.</t>
  </si>
  <si>
    <t>Doanh nghiệp và các đối tác trong hệ sinh thái của doanh nghiệp có một lộ trình danh mục các sản phẩm và dịch vụ số phù hợp nhất với chiến lược chung của mình.</t>
  </si>
  <si>
    <t>2.5.3</t>
  </si>
  <si>
    <t>Đổi mới danh mục sản phẩm và dịch vụ</t>
  </si>
  <si>
    <t>Ra mắt 2025: BeeRich, MB Junior, MB Seller, loa thanh toán MB, L/C nhập khẩu online, sản phẩm Sinh lời tự động (MBCapital); trung bình 10 ngày đưa một dự án công nghệ mới vào vận hành; tái thiết kế hệ thống thẻ rút ngắn 50-80% thời gian phát triển sản phẩm.</t>
  </si>
  <si>
    <t>36-37; 56-57; 68-69; 80-81</t>
  </si>
  <si>
    <t>Đổi mới danh mục đầu tư chỉ được thực hiện theo sự vụ.</t>
  </si>
  <si>
    <t>Một số bộ phận, đơn vị chức năng có quy trình đổi mới danh mục sản phẩm và dịch vụ phù hợp một phần với chiến lược của doanh nghiệp.</t>
  </si>
  <si>
    <t>Hầu hết các bộ phận, đơn vị chức năng đều có quy trình đổi mới danh mục sản phẩm và dịch vụ phù hợp với chiến lược của doanh nghiệp.</t>
  </si>
  <si>
    <t>Toàn bộ doanh nghiệp có một quy trình đổi mới danh mục sản phẩm và dịch vụ phù hợp nhất với chiến lược của mình.</t>
  </si>
  <si>
    <t>Toàn bộ doanh nghiệp và các đối tác trong hệ sinh thái của doanh nghiệp có một quy trình đổi mới danh mục sản phẩm và dịch vụ phù hợp nhất với chiến lược chung của mình.</t>
  </si>
  <si>
    <t>Quản lý chiến lược</t>
  </si>
  <si>
    <t>2.6.1</t>
  </si>
  <si>
    <t>Chiến lược phù hợp với tầm nhìn</t>
  </si>
  <si>
    <t>Thực hiện chiến lược 2025 gắn với tầm nhìn 'Doanh nghiệp số, Tập đoàn tài chính dẫn đầu'; kế hoạch 2026 'Tăng tốc - Vững chắc - Hiệu quả'; Top 1 khách hàng, giao dịch; Top 3 hiệu quả. Tài liệu ĐHĐCĐ 2026: TGĐ khẳng định công nghệ là 'xương sống' của mọi hoạt động kinh doanh; mục tiêu LNTT ~39.400 tỷ đồng.</t>
  </si>
  <si>
    <t>MB, Báo cáo thường niên 2025 (công bố 30/03/2026); thanhtra.com.vn, 'MB đặt mục tiêu lãi 40.000 tỷ đồng, tăng vốn vượt 100.000 tỷ đồng' - tài liệu ĐHĐCĐ MB 2026 (04/2026)</t>
  </si>
  <si>
    <t>36-39; web</t>
  </si>
  <si>
    <t>Doanh nghiệp chưa có tầm nhìn rõ ràng.</t>
  </si>
  <si>
    <t>Doanh nghiệp có một tầm nhìn và đang bắt đầu phát triển một chiến lược phù hợp.</t>
  </si>
  <si>
    <t>Doanh nghiệp có một chiến lược rõ ràng hầu hết phù hợp với tầm nhìn.</t>
  </si>
  <si>
    <t>Doanh nghiệp có một chiến lược rõ ràng hoàn toàn phù hợp với tầm nhìn.</t>
  </si>
  <si>
    <t>Doanh nghiệp và các đối tác trong hệ sinh thái của doanh nghiệp có một chiến lược rõ ràng hoàn toàn phù hợp với tầm nhìn.</t>
  </si>
  <si>
    <t>2.6.2</t>
  </si>
  <si>
    <t>Đồng bộ giữa các nhóm kinh doanh/nghiệp vụ và kỹ thuật</t>
  </si>
  <si>
    <t>Có Ủy ban Công nghệ và chuyển đổi số, Khối Ngân hàng số, Khối Dữ liệu, Khối CNTT trong sơ đồ quản trị; tái thiết kế tổ chức kinh doanh theo phân khúc gắn chuyển đổi số.</t>
  </si>
  <si>
    <t>26-27; 64-65</t>
  </si>
  <si>
    <t>Hoạt động phối hợp xây dựng chiến lược doanh nghiệp giữa bộ phận (kinh doanh, kỹ thuật, khách hàng...) thuật chỉ được thực hiện theo sự vụ.</t>
  </si>
  <si>
    <t>Chiến lược doanh nghiệp đang bắt đầu được đồng phát triển giữa các nhóm kinh doanh/ nghiệp vụ và công nghệ.</t>
  </si>
  <si>
    <t>Chiến lược doanh nghiệp được đồng phát triển giữa các nhóm kinh doanh/nghiệp vụ và công nghệ trên các bộ phận, đơn vị chức năng cốt lõi.</t>
  </si>
  <si>
    <t>Chiến lược doanh nghiệp liên tục được tối ưu hóa giữa các nhóm nhóm kinh doanh/ nghiệp vụ và công nghệ trong toàn doanh nghiệp.</t>
  </si>
  <si>
    <t>Chiến lược doanh nghiệp liên tục được tối ưu hóa giữa các nhóm kinh doanh/ nghiệp vụ và công nghệ trong toàn doanh nghiệp và các đối tác trong hệ sinh thái của doanh nghiệp.</t>
  </si>
  <si>
    <t>2.6.3</t>
  </si>
  <si>
    <t>Đo lường các chỉ số</t>
  </si>
  <si>
    <t>Kết quả chiến lược đo bằng chỉ tiêu cụ thể: khách hàng 35 triệu, doanh thu kênh số 50% (mục tiêu 2026 ~60%), nợ xấu ~1,3%, hoàn thành 108,3% kế hoạch LNTT.</t>
  </si>
  <si>
    <t>16-17; 36-39</t>
  </si>
  <si>
    <t>Đo lường hiệu quả cho các mục tiêu chiến lược chỉ được thực hiện theo sự vụ.</t>
  </si>
  <si>
    <t>Một số bộ phận, đơn vị chức năng thực hiện các biện pháp đo lường kết quả các mục tiêu chiến lược.</t>
  </si>
  <si>
    <t>Hầu hết các bộ phận, đơn vị chức năng thực hiện toàn diện các biện pháp để đo lường kết quả các mục tiêu chiến lược.</t>
  </si>
  <si>
    <t>Toàn bộ các bộ phận, đơn vị chức năng thực hiện toàn diện các biện pháp phù hợp để đo lường kết quả các mục tiêu chiến lược.</t>
  </si>
  <si>
    <t>Toàn bộ các bộ phận, đơn vị chức năng và đối tác trong hệ sinh thái thực hiện toàn diện các biện pháp phù hợp để đo lường kết quả các mục tiêu chiến lược.</t>
  </si>
  <si>
    <t>2.6.4</t>
  </si>
  <si>
    <t>Quản lý rủi ro</t>
  </si>
  <si>
    <t>Khung quản trị rủi ro toàn diện: rủi ro công nghệ, mô hình (3 tuyến phòng thủ, ~200 mô hình), hoạt động, tín dụng; CAR 11,0%, NPL 1,3%.</t>
  </si>
  <si>
    <t>46-51; 56-57</t>
  </si>
  <si>
    <t>Doanh nghiệp chưa có chiến lược quản lý rủi ro rõ ràng.</t>
  </si>
  <si>
    <t>Một chiến lược quản lý rủi ro đang bắt đầu được phát triển ở một số bộ phận, đơn vị chức năng.</t>
  </si>
  <si>
    <t>Một chiến lược quản lý rủi ro được áp dụng trên hầu hết các bộ phận, đơn vị chức năng.</t>
  </si>
  <si>
    <t>Một chiến lược quản lý rủi ro được thông qua bởi doanh nghiệp.</t>
  </si>
  <si>
    <t>Một chiến lược quản lý rủi ro chung được thông qua bởi doanh nghiệp và các đối tác hệ sinh thái của doanh nghiệp.</t>
  </si>
  <si>
    <t>2.6.5</t>
  </si>
  <si>
    <t>Lộ trình chuyển đổi</t>
  </si>
  <si>
    <t>Trọng tâm chuyển đổi 2026 (gắn kết khách hàng, chuyển đổi số, tiên phong công nghệ) và định hướng đến 2029.</t>
  </si>
  <si>
    <t>Doanh nghiệp chưa có lộ trình chuyển đổi rõ ràng.</t>
  </si>
  <si>
    <t>Một số bộ phận, đơn vị chức năng đang thực hiện lộ trình chuyển đổi</t>
  </si>
  <si>
    <t>Hầu hết các bộ phận, đơn vị chức năng đang thực hiện một lộ trình chuyển đổi nhất quán.</t>
  </si>
  <si>
    <t>Toàn bộ doanh nghiệp đang thực hiện một lộ trình chuyển đổi nhất quán.</t>
  </si>
  <si>
    <t>Toàn bộ doanh nghiệp và các đối tác trong hệ sinh thái của doanh nghiệp đang thực hiện một lộ trình chuyển đổi nhất quán.</t>
  </si>
  <si>
    <t>2.6.6</t>
  </si>
  <si>
    <t>Áp dụng chiến lược chuyển đổi số</t>
  </si>
  <si>
    <t>Chuẩn mực đạo đức nghề nghiệp 2025 bổ sung chuẩn mực gắn với định hướng chuyển đổi số và ESG; 100% nhân sự dùng chữ ký số, 70% cuộc họp thường xuyên trực tuyến.</t>
  </si>
  <si>
    <t>164-165; 208-209</t>
  </si>
  <si>
    <t>Truyền thông về chiến lược chuyển đổi số chưa được hiểu rõ.</t>
  </si>
  <si>
    <t>Chiến lược số được áp dụng ở một số bộ phận, đơn vị chức năng.</t>
  </si>
  <si>
    <t>Chiến lược số được áp dụng đầy đủ trên hầu hết các bộ phận, đơn vị chức năng.</t>
  </si>
  <si>
    <t>Chiến lược số được áp dụng đầy đủ trong toàn doanh nghiệp.</t>
  </si>
  <si>
    <t>Chiến lược số được chấp nhận hoàn toàn trong toàn doanh nghiệp và các đối tác trong hệ sinh thái của doanh nghiệp.</t>
  </si>
  <si>
    <t>2.6.7</t>
  </si>
  <si>
    <t>Quản trị chuyển đổi</t>
  </si>
  <si>
    <t>Ủy ban Công nghệ và chuyển đổi số, Hội đồng điều phối Tập đoàn GCC; tích hợp quản lý rủi ro mô hình vào chiến lược chuyển đổi số toàn diện.</t>
  </si>
  <si>
    <t>26-27; 50-51</t>
  </si>
  <si>
    <t>Quản trị chuyển đổi chỉ được thực hiện theo sự vụ.</t>
  </si>
  <si>
    <t>Một số bộ phận, đơn vị chức năng đã áp dụng mô hình quản trị chuyển đổi số chung.</t>
  </si>
  <si>
    <t>Hầu hết các bộ phận, đơn vị chức năng đã áp dụng một mô hình quản trị chuyển đổi số chung.</t>
  </si>
  <si>
    <t>Toàn bộ doanh nghiệp đã áp dụng một mô hình quản trị chuyển đổi số phổ biến và mạnh mẽ.</t>
  </si>
  <si>
    <t>Toàn bộ doanh nghiệp và các đối tác trong hệ sinh thái của doanh nghiệp đã áp dụng mô hình quản trị chuyển đổi số nhất quán và mạnh mẽ.</t>
  </si>
  <si>
    <t>2.6.8</t>
  </si>
  <si>
    <t>Nhận diện và áp dụng các bài học thành công</t>
  </si>
  <si>
    <t>Áp dụng Agile, Design Thinking; hợp tác tư vấn quốc tế để xây dựng chiến lược tăng trưởng.</t>
  </si>
  <si>
    <t>thitruongtaichinhtiente.vn, 'Đào tạo nguồn lực nội bộ - Chiến lược thúc đẩy chuyển đổi số của MB'; prophet.com, case study 'MB Bank - Creating a Digital Banking Powerhouse'</t>
  </si>
  <si>
    <t>Độ tin cậy: Thấp.</t>
  </si>
  <si>
    <t>Việc áp dụng thông lệ tốt nhất chỉ được thực hiện theo sự vụ.</t>
  </si>
  <si>
    <t>Một số bộ phận, đơn vị chức năng xác định và khuyến khích áp dụng các thông lệ tốt nhất (best practices).</t>
  </si>
  <si>
    <t>Hầu hết các bộ phận, đơn vị chức năng tích cực xác định và khuyến khích áp dụng các thông lệ tốt nhất.</t>
  </si>
  <si>
    <t>Toàn bộ doanh nghiệp tích cực xác định và khuyến khích áp dụng các thông lệ tốt nhất.</t>
  </si>
  <si>
    <t>Toàn bộ doanh nghiệp và các đối tác trong hệ sinh thái của doanh nghiệp tích cực xác định và khuyến khích áp dụng các thông lệ tốt nhất.</t>
  </si>
  <si>
    <t>Quản trị công nghệ</t>
  </si>
  <si>
    <t>3.1.1</t>
  </si>
  <si>
    <t>Khung quản trị công nghệ</t>
  </si>
  <si>
    <t>Quản lý rủi ro CNTT: bản đồ rủi ro công nghệ; mọi hệ thống CNTT có chủ sở hữu nghiệp vụ; mọi thay đổi hệ thống phải đánh giá rủi ro trước khi triển khai; Ủy ban Công nghệ và chuyển đổi số.</t>
  </si>
  <si>
    <t>26-27; 48-49</t>
  </si>
  <si>
    <t>Một khung quản trị công nghệ chưa được áp dụng chính thức.</t>
  </si>
  <si>
    <t>Một khung quản trị công nghệ đang được áp dụng ở một số bộ phận, đơn vị chức năng.</t>
  </si>
  <si>
    <t>Một khung quản trị công nghệ đang được áp dụng trên hầu hết các bộ phận, đơn vị chức năng.</t>
  </si>
  <si>
    <t>Một khung quản trị công nghệ đang được áp dụng trong toàn doanh nghiệp.</t>
  </si>
  <si>
    <t>Một khung quản trị công nghệ đang được áp dụng trên toàn doanh nghiệp và các đối tác trong hệ sinh thái của doanh nghiệp.</t>
  </si>
  <si>
    <t>3.1.2</t>
  </si>
  <si>
    <t>Tiêu chuẩn ngành</t>
  </si>
  <si>
    <t>Đáp ứng PCI DSS, ISO/IEC 27001:2013, đánh giá tuân thủ SWIFT CSP; Basel (TT41) và công cụ tính chuẩn Basel III (NSFR, LCR).</t>
  </si>
  <si>
    <t>48-49; 78-79</t>
  </si>
  <si>
    <t>Độ tin cậy: Cao. Chưa thấy ngày hiệu lực chứng chỉ ISO 27001; nên kiểm tra thêm.</t>
  </si>
  <si>
    <t>Việc sử dụng các tiêu chuẩn ngành được thực hiện theo sự vụ và chưa tính đến lợi ích kinh doanh.</t>
  </si>
  <si>
    <t>Các tiêu chuẩn ngành có liên quan được sử dụng một phần để tối đa hóa lợi ích kinh doanh.</t>
  </si>
  <si>
    <t>Các tiêu chuẩn ngành có liên quan được tận dụng tối đa để tối đa hóa lợi ích kinh doanh.</t>
  </si>
  <si>
    <t>Doanh nghiệp sử dụng đầy đủ và đóng góp vào các tiêu chuẩn ngành có liên quan.</t>
  </si>
  <si>
    <t>Doanh nghiệp và các đối tác trong hệ sinh thái của doanh nghiệp tận dụng triệt để và đóng góp vào các tiêu chuẩn ngành có liên quan .</t>
  </si>
  <si>
    <t>3.1.3</t>
  </si>
  <si>
    <t>Quản lý môi trường</t>
  </si>
  <si>
    <t>Số liệu môi trường Hội sở: giấy in giảm 4%, mực in giảm 5,4%; số hóa văn kiện tín dụng giảm in ấn; thẻ MB Mastercard Hi Green bằng nhựa tái chế.</t>
  </si>
  <si>
    <t>118-119; 144-145; 174-175</t>
  </si>
  <si>
    <t>Doanh nghiệp ít hoặc chưa xem xét đến tác động môi trường của các hoạt động công nghệ.</t>
  </si>
  <si>
    <t>Một số bộ phận, đơn vị chức năng xem xét tác động đến môi trường từ các hoạt động công nghệ của họ.</t>
  </si>
  <si>
    <t>Hầu hết các bộ phận, đơn vị chức năng quản lý tác động đến môi trường của các hoạt động công nghệ của họ.</t>
  </si>
  <si>
    <t>Doanh nghiệp chủ động quản lý tác động đến môi trường của các hoạt động công nghệ của mình.</t>
  </si>
  <si>
    <t>Doanh nghiệp và các đối tác trong hệ sinh thái của mình chủ động quản lý tác động đối với môi trường của các hoạt động công nghệ của họ.</t>
  </si>
  <si>
    <t>3.1.4</t>
  </si>
  <si>
    <t>Quản lý năng lượng</t>
  </si>
  <si>
    <t>Tiêu thụ điện Hội sở 2025: 4.784.300 kWh (giảm 3,3%); phát thải phạm vi 2: 3.154 tCO2e (giảm 3,3%); chuyển hệ thống chiếu sáng sang LED.</t>
  </si>
  <si>
    <t>144-145; 150-151</t>
  </si>
  <si>
    <t>Độ tin cậy: TB. Mới đo ở Hội sở, chưa toàn hệ thống.</t>
  </si>
  <si>
    <t>Việc xem xét quản lý năng lượng được thực hiện theo sự vụ.</t>
  </si>
  <si>
    <t>Một số bộ phận, đơn vị chức năng quản lý tác động kinh tế của tiêu thụ năng lượng.</t>
  </si>
  <si>
    <t>Hầu hết các bộ phận, đơn vị chức năng quản lý tác động kinh tế của việc tiêu thụ năng lượng.</t>
  </si>
  <si>
    <t>Doanh nghiệp chủ động quản lý tác động kinh tế của việc tiêu thụ năng lượng.</t>
  </si>
  <si>
    <t>Doanh nghiệp và các đối tác hệ sinh thái của doanh nghiệp chủ động quản lý tác động kinh tế của việc tiêu thụ năng lượng.</t>
  </si>
  <si>
    <t>3.1.5</t>
  </si>
  <si>
    <t>Công nghệ mới</t>
  </si>
  <si>
    <t>Ứng dụng RPA, Mbot, AI, ML, Deep Learning, chatbot, callbot, OCR Center, sinh trắc học (khuôn mặt, vân tay, mống mắt), Big Data; 2026 triển khai AI Application Security, AI Access Security, Automation Pentest.</t>
  </si>
  <si>
    <t>78-79; 208-211</t>
  </si>
  <si>
    <t>Doanh nghiệp ít hoặc chưa quan tâm đến các công nghệ mới.</t>
  </si>
  <si>
    <t>Một số bộ phận, đơn vị chức năng đã tích cực áp dụng các công nghệ mới cho hoạt động kinh doanh của họ.</t>
  </si>
  <si>
    <t>Doanh nghiệp đã tích cực áp dụng các công nghệ mới cho hoạt động kinh doanh.</t>
  </si>
  <si>
    <t>Doanh nghiệp đang chủ động tìm kiếm (scan) các công nghệ mới và hoạt động kinh doanh của họ.</t>
  </si>
  <si>
    <t>Doanh nghiệp và các đối tác trong hệ sinh thái của doanh nghiệp đang chủ động tìm kiếm các công nghệ mới và hoạt động kinh doanh của họ.</t>
  </si>
  <si>
    <t>Kiến trúc công nghệ và ứng dụng</t>
  </si>
  <si>
    <t>3.2.1</t>
  </si>
  <si>
    <t>Chiến lược/lộ trình công nghệ</t>
  </si>
  <si>
    <t>Trọng tâm 2026 'Tiên phong công nghệ, bảo đảm an toàn hệ thống'; tái thiết kế kiến trúc ứng dụng đa trung tâm dữ liệu; tái thiết kế hệ thống thẻ thành 2 core.</t>
  </si>
  <si>
    <t>16-17; 38-39</t>
  </si>
  <si>
    <t>Lộ trình công nghệ chưa phù hợp với chiến lược kinh doanh.</t>
  </si>
  <si>
    <t>Lộ trình công nghệ phù hợp một phần với chiến lược kinh doanh.</t>
  </si>
  <si>
    <t>Lộ trình công nghệ phù hợp với chiến lược kinh doanh của doanh nghiệp.</t>
  </si>
  <si>
    <t>Lộ trình công nghệ liên tục được tối ưu hóa để phù hợp và thúc đẩy chiến lược kinh doanh trong toàn doanh nghiệp.</t>
  </si>
  <si>
    <t>Lộ trình công nghệ liên tục được tối ưu hóa để phù hợp và thúc đẩy chiến lược kinh doanh trong toàn doanh nghiệp và các đối tác trong hệ sinh thái của doanh nghiệp.</t>
  </si>
  <si>
    <t>3.2.2</t>
  </si>
  <si>
    <t>Kiến trúc Microservices &amp; kiến trúc theo hướng dịch vụ (SOA - Service-Oriented Architecture)</t>
  </si>
  <si>
    <t>Hệ thống microservices đa dạng cho App MBBank; hạ tầng Kubernetes/Istio trong tin tuyển dụng DevOps.</t>
  </si>
  <si>
    <t>itviec.com/blog/sieu-ung-dung-app-mb-bank; itviec.com, tin tuyển dụng DevOps/DevSecOps Engineer - Khối CNTT MB Bank (2025-2026)</t>
  </si>
  <si>
    <t>Kiến trúc hướng dịch vụ được thực hiện theo sự vụ.</t>
  </si>
  <si>
    <t>Microservices đã được triển khai trong một số ứng dụng.</t>
  </si>
  <si>
    <t>Microservices được sử dụng trong hầu hết các ứng dụng và lập trình hướng sự kiện đang được triển khai.</t>
  </si>
  <si>
    <t>Microservices và lập trình hướng sự kiện được áp dụng đầy đủ trong bối cảnh ứng dụng của doanh nghiệp.</t>
  </si>
  <si>
    <t>Microservices và lập trình hướng sự kiện được áp dụng đầy đủ trong bối cảnh ứng dụng của doanh nghiệp và các đối tác trong hệ sinh thái của doanh nghiệp.</t>
  </si>
  <si>
    <t>3.2.3</t>
  </si>
  <si>
    <t>Mã nguồn mở</t>
  </si>
  <si>
    <t>Bộ công cụ mã nguồn mở: Kubernetes, GitLab, Jenkins, Ansible, ELK, Prometheus, Grafana.</t>
  </si>
  <si>
    <t>itviec.com, tin tuyển dụng DevOps/DevSecOps Engineer - Khối CNTT MB Bank (2025-2026)</t>
  </si>
  <si>
    <t>Độ tin cậy: Thấp. Suy luận từ tin tuyển dụng.</t>
  </si>
  <si>
    <t>Việc sử dụng nguồn mở chỉ được thực hiện theo sự vụ.</t>
  </si>
  <si>
    <t>Các giải pháp mã nguồn mở có liên quan được sử dụng một phần để tối đa hóa lợi ích kinh doanh.</t>
  </si>
  <si>
    <t>Các giải pháp mã nguồn mở có liên quan được sử dụng đầy đủ để tối đa hóa lợi ích kinh doanh.</t>
  </si>
  <si>
    <t>Doanh nghiệp sử dụng đầy đủ và đóng góp cho các giải pháp mã nguồn mở có liên quan.</t>
  </si>
  <si>
    <t>Doanh nghiệp và các đối tác hệ sinh thái của doanh nghiệp sử dụng đầy đủ và đóng góp cho các giải pháp mã nguồn mở có liên quan.</t>
  </si>
  <si>
    <t>3.2.4</t>
  </si>
  <si>
    <t>Khả năng cấu hình ứng dụng</t>
  </si>
  <si>
    <t>Các ứng dụng chủ yếu được tùy chỉnh.</t>
  </si>
  <si>
    <t>Một số ứng dụng được cấu hình linh hoạt, đáng tin cậy và nhanh chóng bởi doanh nghiệp.</t>
  </si>
  <si>
    <t>Hầu hết các ứng dụng được cấu hình linh hoạt, đáng tin cậy và nhanh chóng bởi doanh nghiệp.</t>
  </si>
  <si>
    <t>Tất cả các ứng dụng được cấu hình linh hoạt, đáng tin cậy và nhanh chóng bởi doanh nghiệp.</t>
  </si>
  <si>
    <t>Tất cả các ứng dụng đều được cấu hình linh hoạt, đáng tin cậy và nhanh chóng bởi doanh nghiệp và các đối tác trong hệ sinh thái của doanh nghiệp.</t>
  </si>
  <si>
    <t>3.2.5</t>
  </si>
  <si>
    <t>Nâng cao năng lực sử dụng điện toán đám mây (Cloud)</t>
  </si>
  <si>
    <t>Hạ tầng lai: 162 dịch vụ public cloud và 1.300 VM private cloud; cung cấp dịch vụ khách hàng trên điện toán đám mây.</t>
  </si>
  <si>
    <t>16-17; 68-69; 174-175</t>
  </si>
  <si>
    <t>Việc áp dụng các năng lực sử dụng điện toán đám mây chỉ được thực hiện theo sự vụ.</t>
  </si>
  <si>
    <t>Một số bộ phận, đơn vị chức năng đã bắt đầu xác định một cách tiếp cận chung để phát triển năng lực sử dụng điện toán đám mây của họ.</t>
  </si>
  <si>
    <t>Hầu hết các bộ phận, đơn vị chức năng đã bắt đầu xác định một cách tiếp cận chung để phát triển năng lực sử dụng điện toán đám mây của họ.</t>
  </si>
  <si>
    <t>Doanh nghiệp có một cách tiếp cận chung được cân nhắc kỹ lưỡng để phát triển năng lực sử dụng điện toán đám mây của mình nhằm tối đa hóa giá trị kinh doanh.</t>
  </si>
  <si>
    <t>Doanh nghiệp và các đối tác trong hệ sinh thái của doanh nghiệp có một cách tiếp cận chung được cân nhắc kỹ lưỡng để phát triển năng lực sử dụng điện toán đám mây của họ nhằm tối đa hóa giá trị kinh doanh.</t>
  </si>
  <si>
    <t>3.2.6</t>
  </si>
  <si>
    <t>Áp dụng API</t>
  </si>
  <si>
    <t>BaaS với hơn 1.000 kết nối API đứng đầu thị trường, các API phát triển hoàn toàn nội bộ; 1.100 đối tác kết nối.</t>
  </si>
  <si>
    <t>Độ tin cậy: Cao. Chưa chấm 5 vì chưa có minh chứng bắt buộc dùng API cho mọi ứng dụng và đối tác.</t>
  </si>
  <si>
    <t>Việc sử dụng API chỉ được thực hiện theo sự vụ.</t>
  </si>
  <si>
    <t>Một số bộ phận, đơn vị chức năng đã bắt đầu hỗ trợ API.</t>
  </si>
  <si>
    <t>Doanh nghiệp bắt buộc sử dụng API cho tất cả các ứng dụng mới và đang bắt đầu áp dụng các thông số kỹ thuật mở.</t>
  </si>
  <si>
    <t>Doanh nghiệp bắt buộc sử dụng API dựa trên thông số kỹ thuật mở cho tất cả các ứng dụng và đã đạt được sự áp dụng rộng rãi.</t>
  </si>
  <si>
    <t>Doanh nghiệp và các đối tác trong hệ sinh thái của doanh nghiệp bắt buộc sử dụng API dựa trên các thông số kỹ thuật mở cho tất cả các ứng dụng và đã đạt được sự áp dụng rộng rãi.</t>
  </si>
  <si>
    <t>3.2.7</t>
  </si>
  <si>
    <t>Kiến trúc công nghệ</t>
  </si>
  <si>
    <t>Kiến trúc đa trung tâm dữ liệu, mô hình active-active toàn thời gian cho App MBBank; 37 triệu request/ngày, thành công 99,5%.</t>
  </si>
  <si>
    <t>16-17; 68-69</t>
  </si>
  <si>
    <t>Kiến trúc công nghệ hỗ trợ các ứng dụng được thực hiện theo sự vụ.</t>
  </si>
  <si>
    <t>Kiến trúc công nghệ hỗ trợ triển khai kịp thời một số ứng dụng.</t>
  </si>
  <si>
    <t>Kiến trúc công nghệ hỗ trợ triển khai kịp thời hầu hết các ứng dụng.</t>
  </si>
  <si>
    <t>Kiến trúc công nghệ hỗ trợ liền mạch việc triển khai kịp thời các ứng dụng trong toàn doanh nghiệp.</t>
  </si>
  <si>
    <t>Kiến trúc công nghệ hỗ trợ liền mạch việc triển khai kịp thời các ứng dụng trong toàn doanh nghiệp và các đối tác trong hệ sinh thái của doanh nghiệp.</t>
  </si>
  <si>
    <t>An toàn thông tin mạng</t>
  </si>
  <si>
    <t>3.3.1</t>
  </si>
  <si>
    <t>Bảo đảm an toàn hệ thống thông tin theo cấp độ</t>
  </si>
  <si>
    <t>Chưa có công bố về phân cấp độ an toàn hệ thống thông tin.</t>
  </si>
  <si>
    <t>Phê duyệt 80% Hồ sơ đề xuất cấp độ cho các hệ thống thông tin.</t>
  </si>
  <si>
    <t>Phê duyệt 100% Hồ sơ đề xuất cấp độ cho các hệ thống thông tin và triển khai đầy đủ phương án bảo đảm an toàn hệ thống thông tin cho 50% các HTTT.</t>
  </si>
  <si>
    <t>100% hệ thống thông tin được phê duyệt và triển khai đầy đủ phương án bảo đảm an toàn hệ thống thông tin theo cấp độ .</t>
  </si>
  <si>
    <t>- Mức độ 3 và định kỳ 100% các HTTT được kiểm tra, đánh giá định kỳ theo quy định của pháp luật.</t>
  </si>
  <si>
    <t>- Mức độ 4 và triển khai giám sát cho 100% các HTTT được giám sát, bảo vệ chuyên nghiệp.</t>
  </si>
  <si>
    <t>3.3.2</t>
  </si>
  <si>
    <t>Phát hiện và giảm thiểu xâm nhập</t>
  </si>
  <si>
    <t>Hệ thống giám sát an ninh phát hiện và xử lý hơn 657.000 cảnh báo; MBTI phát hiện 86 lỗ hổng nghiêm trọng/cao và 169 chiến dịch mã độc; SOC.</t>
  </si>
  <si>
    <t>208-211</t>
  </si>
  <si>
    <t>Việc phát hiện xâm nhập chỉ được thực hiện theo sự vụ.</t>
  </si>
  <si>
    <t>Doanh nghiệp phát hiện và giảm thiểu xâm nhập trong một số thành phần của các hệ thống.</t>
  </si>
  <si>
    <t>Doanh nghiệp phát hiện và giảm thiểu xâm nhập trong hầu hết các thành phần của các hệ thống.</t>
  </si>
  <si>
    <t>Doanh nghiệp phát hiện và giảm thiểu xâm nhập trong thời gian gần thực.</t>
  </si>
  <si>
    <t>Doanh nghiệp và các đối tác trong hệ sinh thái của doanh nghiệp phát hiện và giảm thiểu xâm nhập trong thời gian gần thực.</t>
  </si>
  <si>
    <t>3.3.3</t>
  </si>
  <si>
    <t>Bảo đảm an toàn, an ninh mạng</t>
  </si>
  <si>
    <t>Kiểm thử ATTT 1.967 lượt trước go-live; 7.737 lượt rà soát, săn tìm nguy cơ; đào tạo ATTT 13.348 lượt, mô phỏng phishing 6 đợt (4.156 nhân sự); kết nối A05, Simo.</t>
  </si>
  <si>
    <t>16-17; 210-211</t>
  </si>
  <si>
    <t>Bảo vệ hệ thống thông tin được thực hiện theo sự vụ.</t>
  </si>
  <si>
    <t>Một số bộ phận, đơn vị chức năng có năng lực bảo đảm an toàn, an ninh mạng hiệu quả.</t>
  </si>
  <si>
    <t>Doanh nghiệp có năng lực bảo đảm an toàn, an ninh mạng hiệu quả.</t>
  </si>
  <si>
    <t>Doanh nghiệp có năng lực bảo đảm an toàn, an ninh mạng hiệu quả và liên tục được cải thiện.</t>
  </si>
  <si>
    <t>Doanh nghiệp và các đối tác trong hệ sinh thái của doanh nghiệp có năng lực bảo đảm an toàn, an ninh mạng hiệu quả và liên tục được cải thiện.</t>
  </si>
  <si>
    <t>3.3.4</t>
  </si>
  <si>
    <t>Bảo mật vật lý</t>
  </si>
  <si>
    <t>Việc sử dụng các thành phần công nghệ để bảo mật vật lý được thực hiện theo sự vụ.</t>
  </si>
  <si>
    <t>Một số yếu tố công nghệ được sử dụng để đáp ứng nhu cầu bảo mật vật lý của doanh nghiệp.</t>
  </si>
  <si>
    <t>Các yếu tố công nghệ được sử dụng để đáp ứng nhu cầu bảo mật vật lý của doanh nghiệp.</t>
  </si>
  <si>
    <t>Các yếu tố công nghệ được sử dụng hiệu quả để đáp ứng nhu cầu bảo mật vật lý của doanh nghiệp.</t>
  </si>
  <si>
    <t>Các yếu tố công nghệ được sử dụng hiệu quả để đáp ứng nhu cầu bảo mật vật lý của doanh nghiệp và các đối tác trong hệ sinh thái của doanh nghiệp.</t>
  </si>
  <si>
    <t>Ứng dụng và nền tảng</t>
  </si>
  <si>
    <t>3.4.1</t>
  </si>
  <si>
    <t>Trí tuệ nhân tạo</t>
  </si>
  <si>
    <t>AI/ML phát hiện gian lận, AML, chấm điểm tín dụng (~200 mô hình), chatbot/callbot, ứng dụng AI toàn trình trong phát triển phần mềm giúp tiết kiệm 60% thời gian và chi phí. 08/2026: AI và dữ liệu trên BIZ MBBank giảm tới 70% nguồn lực ở một số quy trình, số khách hàng dùng giải pháp tăng 2,5 lần.</t>
  </si>
  <si>
    <t>MB, Báo cáo thường niên 2025 (công bố 30/03/2026); tapchikinhtetaichinh.vn, 'BIZ MBBank rút thời gian xử lý hồ sơ vốn xuống 2 ngày' (18/08/2026)</t>
  </si>
  <si>
    <t>16-17; 48-49; 68-69; 208-209; web</t>
  </si>
  <si>
    <t>Việc sử dụng trí tuệ nhân tạo chỉ được thực hiện theo sự vụ.</t>
  </si>
  <si>
    <t>Trí tuệ nhân tạo được một số bộ phận, đơn vị chức năng sử dụng để mang lại giá trị kinh tế.</t>
  </si>
  <si>
    <t>Trí tuệ nhân tạo được sử dụng trong toàn doanh nghiệp để mang lại giá trị kinh tế.</t>
  </si>
  <si>
    <t>Trí tuệ nhân tạo được sử dụng rộng rãi và ngày càng nhiều trong toàn doanh nghiệp để mang lại giá trị kinh tế.</t>
  </si>
  <si>
    <t>Trí tuệ nhân tạo được sử dụng rộng rãi và ngày càng nhiều trong toàn doanh nghiệp và các đối tác trong hệ sinh thái của doanh nghiệp để mang lại giá trị kinh tế.</t>
  </si>
  <si>
    <t>3.4.2</t>
  </si>
  <si>
    <t>Nền tảng dữ liệu lớn</t>
  </si>
  <si>
    <t>Big Data thu thập, phân tích lượng lớn dữ liệu khách hàng; tổng hợp đa nguồn để xây hồ sơ rủi ro; fraud system phân tích dữ liệu lớn theo realtime/near realtime/batch.</t>
  </si>
  <si>
    <t>46-47; 208-209</t>
  </si>
  <si>
    <t>Doanh nghiệp chưa có nền tảng dữ liệu lớn.</t>
  </si>
  <si>
    <t>Doanh nghiệp đã có kế hoạch triển khai nền tảng dữ liệu lớn.</t>
  </si>
  <si>
    <t>Một nền tảng dữ liệu lớn đã được thiết lập và đi vào hoạt động.</t>
  </si>
  <si>
    <t>Một nền tảng dữ liệu lớn đang được sử dụng để thu thập, quản lý và phân tích dữ liệu trong toàn doanh nghiệp nhằm mang lại giá trị kinh tế.</t>
  </si>
  <si>
    <t>Một nền tảng dữ liệu lớn đang được sử dụng để thu thập, quản lý và phân tích dữ liệu trong toàn doanh nghiệp và các đối tác trong hệ sinh thái của doanh nghiệp nhằm mang lại giá trị kinh tế.</t>
  </si>
  <si>
    <t>3.4.3</t>
  </si>
  <si>
    <t>Công cụ phát triển ứng dụng</t>
  </si>
  <si>
    <t>Bộ công cụ phát triển: GitLab, Jenkins, Nexus, Docker; áp dụng AI vào quy trình phát triển phần mềm.</t>
  </si>
  <si>
    <t>itviec.com, tin tuyển dụng DevOps/DevSecOps Engineer - Khối CNTT MB Bank (2025-2026); itviec.com/blog/sieu-ung-dung-app-mb-bank</t>
  </si>
  <si>
    <t>Việc sử dụng các công cụ phát triển ứng dụng được thực hiện theo sự vụ.</t>
  </si>
  <si>
    <t>Doanh nghiệp có sẵn một bộ công cụ phát triển ứng dụng để mang lại giá trị kinh tế.</t>
  </si>
  <si>
    <t>Doanh nghiệp có sẵn một bộ công cụ phát triển ứng dụng hoàn chỉnh để mang lại giá trị kinh tế.</t>
  </si>
  <si>
    <t>Doanh nghiệp có các công cụ phát triển ứng dụng tốt nhất trong cùng phân khúc và liên tục được nâng cao để mang lại giá trị kinh doanh.</t>
  </si>
  <si>
    <t>Doanh nghiệp và các đối tác trong hệ sinh thái của doanh nghiệp có sẵn các công cụ phát triển ứng dụng tốt nhất và liên tục được nâng cao để mang lại giá trị kinh doanh.</t>
  </si>
  <si>
    <t>3.4.4</t>
  </si>
  <si>
    <t>Danh mục công cụ</t>
  </si>
  <si>
    <t>Doanh nghiệp chưa có hành động cụ thể để lập danh mục các công cụ.</t>
  </si>
  <si>
    <t>Một số bộ phận, đơn vị chức năng đã bắt đầu lập danh mục và tài liệu hóa các công cụ họ sử dụng.</t>
  </si>
  <si>
    <t>Hầu hết các bộ phận, đơn vị chức năng duy trì một danh mục và tài liệu hóa về các công cụ họ sử dụng.</t>
  </si>
  <si>
    <t>Có một danh mục toàn doanh nghiệp về các công cụ được sử dụng cùng với tài liệu toàn diện.</t>
  </si>
  <si>
    <t>Có một danh mục các công cụ được sử dụng trên toàn bộ doanh nghiệp và hệ sinh thái của doanh nghiệp cùng với tài liệu toàn diện.</t>
  </si>
  <si>
    <t>Kết nối và tính toán</t>
  </si>
  <si>
    <t>3.5.1</t>
  </si>
  <si>
    <t>Ảo hóa (ví dụ: SDN/NFV)</t>
  </si>
  <si>
    <t>Hạ tầng gồm 7.602 server vật lý và ảo hóa, 1.300 VM private cloud.</t>
  </si>
  <si>
    <t>Độ tin cậy: TB. Chỉ ảo hóa server, chưa có minh chứng SDN/NFV.</t>
  </si>
  <si>
    <t>Ảo hóa chưa được sử dụng.</t>
  </si>
  <si>
    <t>Một số bộ phận, đơn vị chức năng sử dụng ảo hóa để mang lại giá trị kinh tế (giảm chi phí, tăng năng suất lao động, ...).</t>
  </si>
  <si>
    <t>Nhiều bộ phận, đơn vị chức năng sử dụng ảo hóa để mang lại giá trị kinh tế.</t>
  </si>
  <si>
    <t>Doanh nghiệp sử dụng hiệu quả ảo hóa ở bất cứ nơi nào nó mang lại giá trị kinh tế.</t>
  </si>
  <si>
    <t>Doanh nghiệp và các đối tác trong hệ sinh thái của doanh nghiệp sử dụng hiệu quả ảo hóa ở bất cứ nơi nào nó mang lại giá trị kinh tế.</t>
  </si>
  <si>
    <t>3.5.2</t>
  </si>
  <si>
    <t>Kết nối không dây</t>
  </si>
  <si>
    <t>Việc sử dụng kết nối không dây được thực hiện theo sự vụ.</t>
  </si>
  <si>
    <t>Một số bộ phận, đơn vị chức năng sử dụng kết nối không dây để mang lại giá trị kinh tế.</t>
  </si>
  <si>
    <t>Nhiều bộ phận, đơn vị chức năng sử dụng kết nối không dây để mang lại giá trị kinh tế.</t>
  </si>
  <si>
    <t>Doanh nghiệp sử dụng hiệu quả kết nối không dây phù hợp ở bất cứ nơi nào giá trị kinh tế được mang lại.</t>
  </si>
  <si>
    <t>Doanh nghiệp và các đối tác trong hệ sinh thái của doanh nghiệp sử dụng hiệu quả kết nối không dây thích hợp ở bất cứ nơi nào giá trị kinh tế được mang lại.</t>
  </si>
  <si>
    <t>3.5.3</t>
  </si>
  <si>
    <t>Giao thức Internet</t>
  </si>
  <si>
    <t>Việc sử dụng IP được thực hiện theo sự vụ.</t>
  </si>
  <si>
    <t>IP được một số bộ phận, đơn vị chức năng sử dụng một cách có chủ ý trong toàn doanh nghiệp.</t>
  </si>
  <si>
    <t>IP được sử dụng bởi hầu hết các bộ phận, đơn vị chức năng trong toàn doanh nghiệp.</t>
  </si>
  <si>
    <t>IP được sử dụng rộng rãi trong toàn doanh nghiệp.</t>
  </si>
  <si>
    <t>IP được sử dụng rộng rãi trong toàn doanh nghiệp và các đối tác trong hệ sinh thái của doanh nghiệp.</t>
  </si>
  <si>
    <t>3.5.4</t>
  </si>
  <si>
    <t>Internet vạn vật</t>
  </si>
  <si>
    <t>loT chưa được sử dụng.</t>
  </si>
  <si>
    <t>Một số bộ phận, đơn vị chức năng sử dụng IoT để mang lại giá trị kinh tế.</t>
  </si>
  <si>
    <t>Hầu hết bộ phận, đơn vị chức năng sử dụng IoT để mang lại giá trị kinh tế.</t>
  </si>
  <si>
    <t>Doanh nghiệp sử dụng hiệu quả IoT ở bất cứ nơi nào nó mang lại giá trị kinh tế.</t>
  </si>
  <si>
    <t>Doanh nghiệp và các đối tác trong hệ sinh thái của doanh nghiệp sử dụng hiệu quả IoT ở bất cứ nơi nào nó mang lại giá trị kinh tế.</t>
  </si>
  <si>
    <t>3.5.5</t>
  </si>
  <si>
    <t>Quản lý hạ tầng</t>
  </si>
  <si>
    <t>Bộ công cụ giám sát hệ thống và kiểm soát tác động giúp vận hành thông minh, rút ngắn 30% thời gian phát hiện sự cố.</t>
  </si>
  <si>
    <t>Quản lý hạ tầng chỉ được thực hiện theo sự vụ.</t>
  </si>
  <si>
    <t>Một số khía cạnh của Quản lý hạ tầng đang đáp ứng nhu cầu của doanh nghiệp.</t>
  </si>
  <si>
    <t>Hầu hết các khía cạnh của Quản lý hạ tầng đang đáp ứng nhu cầu của doanh nghiệp.</t>
  </si>
  <si>
    <t>Quản lý (các) hạ tầng được tích hợp và đáp ứng nhu cầu của doanh nghiệp và liên tục được cải thiện.</t>
  </si>
  <si>
    <t>Quản lý (các) hạ tầng được tích hợp và đáp ứng nhu cầu của doanh nghiệp cũng như các đối tác trong hệ sinh thái của doanh nghiệp và liên tục được cải thiện.</t>
  </si>
  <si>
    <t>3.5.6</t>
  </si>
  <si>
    <t>Điều phối nguồn lực</t>
  </si>
  <si>
    <t>Điều phối container bằng Kubernetes/Rancher/Istio.</t>
  </si>
  <si>
    <t>Điều phối nguồn lực được xử lý chưa hiệu quả.</t>
  </si>
  <si>
    <t>Điều phối nguồn lực đang đáp ứng một phần các - Mức dịch vụ bắt buộc do doanh nghiệp cung cấp.</t>
  </si>
  <si>
    <t>Điều phối nguồn lực đang đáp ứng các - Mức dịch vụ bắt buộc do doanh nghiệp cung cấp.</t>
  </si>
  <si>
    <t>Điều phối nguồn lực đang vượt trội - Mức dịch vụ cần thiết do doanh nghiệp cung cấp.</t>
  </si>
  <si>
    <t>Điều phối đang vượt trội - Mức dịch vụ cần thiết do doanh nghiệp và các đối tác hệ sinh thái của doanh nghiệp cung cấp.</t>
  </si>
  <si>
    <t>3.5.7</t>
  </si>
  <si>
    <t>Điện toán đám mây</t>
  </si>
  <si>
    <t>162 dịch vụ public cloud và 1.300 VM private cloud được dùng cho hệ thống ngân hàng.</t>
  </si>
  <si>
    <t>68-69</t>
  </si>
  <si>
    <t>Hạ tầng điện toán đám mây chưa được sử dụng.</t>
  </si>
  <si>
    <t>Hạ tầng điện toán đám mây được một số bộ phận, đơn vị chức năng sử dụng để mang lại giá trị kinh tế.</t>
  </si>
  <si>
    <t>Hạ tầng điện toán đám mây được hầu hết các bộ phận, đơn vị chức năng sử dụng để mang lại giá trị kinh tế.</t>
  </si>
  <si>
    <t>Doanh nghiệp sử dụng hiệu quả hạ tầng điện toán đám mây ở toàn bộ những nơi mà nó giúp mang lại giá trị kinh tế.</t>
  </si>
  <si>
    <t>Doanh nghiệp và các đối tác trong hệ sinh thái của doanh nghiệp sử dụng hiệu quả hạ tầng điện toán đám mây ở toàn bộ những nơi mà nó giúp mang lại giá trị kinh tế.</t>
  </si>
  <si>
    <t>3.5.8</t>
  </si>
  <si>
    <t>Điện toán biên</t>
  </si>
  <si>
    <t>Điện toán biên chưa được sử dụng.</t>
  </si>
  <si>
    <t>Một số bộ phận, đơn vị chức năng sử dụng điện toán biên để mang lại giá trị kinh tế.</t>
  </si>
  <si>
    <t>Nhiều bộ phận, đơn vị chức năng sử dụng điện toán biên để mang lại giá trị kinh tế.</t>
  </si>
  <si>
    <t>Doanh nghiệp sử dụng hiệu quả điện toán biên ở bất cứ nơi nào nó mang lại giá trị kinh tế.</t>
  </si>
  <si>
    <t>Doanh nghiệp và các đối tác trong hệ sinh thái của doanh nghiệp sử dụng hiệu quả điện toán biên ở bất cứ nơi nào nó mang lại giá trị kinh tế.</t>
  </si>
  <si>
    <t>3.5.9</t>
  </si>
  <si>
    <t>Tự động hóa</t>
  </si>
  <si>
    <t>RPA, Mbot tự động hóa nhập liệu/đối chiếu; SME siêu nhỏ cắt 100% phê duyệt thủ công, 90% khâu thẩm định; giải ngân tự động 24/7; tỷ lệ phê duyệt tự động cao nhất.</t>
  </si>
  <si>
    <t>64-65; 68-69; 208-209</t>
  </si>
  <si>
    <t>Tự động hóa chỉ được thực hiện theo sự vụ.</t>
  </si>
  <si>
    <t>Một số bộ phận, đơn vị chức năng đã áp dụng tự động hóa để mang lại giá trị kinh tế.</t>
  </si>
  <si>
    <t>Hầu hết các quy trình đều được tự động hóa và mang lại giá trị kinh tế.</t>
  </si>
  <si>
    <t>Tự động hóa Zero-Touch đã sẵn sàng và mang lại giá trị kinh tế trong toàn doanh nghiệp.</t>
  </si>
  <si>
    <t>Tự động hóa Zero-Touch đã sẵn sàng và mang lại giá trị kinh tế cho toàn doanh nghiệp và các đối tác trong hệ sinh thái của doanh nghiệp.</t>
  </si>
  <si>
    <t>Quản trị vận hành</t>
  </si>
  <si>
    <t>4.1.1</t>
  </si>
  <si>
    <t>Mô hình doanh nghiệp</t>
  </si>
  <si>
    <t>Chuyển dịch mô hình kinh doanh nền tảng: doanh thu kênh số 50% (mục tiêu 2026 ~60%); nhân sự IT/dữ liệu 11,9% tổng nhân sự; tổ chức kinh doanh theo phân khúc.</t>
  </si>
  <si>
    <t>26-27; 36-39; 68-69</t>
  </si>
  <si>
    <t>Mô hình vận hành chưa hỗ trợ chiến lược chuyển đổi số.</t>
  </si>
  <si>
    <t>Mô hình vận hành đang được xây dựng để phù hợp với chiến lược số.</t>
  </si>
  <si>
    <t>Mô hình vận hành của doanh nghiệp phù hợp với chiến lược số.</t>
  </si>
  <si>
    <t>Mô hình vận hành của doanh nghiệp thể hiện đầy đủ chiến lược số và nó liên tục được cải thiện.</t>
  </si>
  <si>
    <t>Mô hình hoạt động của doanh nghiệp và các đối tác trong hệ sinh thái của doanh nghiệp thể hiện đầy đủ chiến lược số và nó liên tục được cải thiện.</t>
  </si>
  <si>
    <t>4.1.2</t>
  </si>
  <si>
    <t>Quản lý rủi ro hoạt động</t>
  </si>
  <si>
    <t>Quản lý rủi ro hoạt động có khẩu vị, hạn mức được phê duyệt; 2025 các chỉ tiêu không vượt ngưỡng và cải thiện; hệ thống quản lý gian lận dùng rule-based + ML.</t>
  </si>
  <si>
    <t>46-47</t>
  </si>
  <si>
    <t>Quản lý rủi ro hoạt động chỉ được thực hiện theo sự vụ.</t>
  </si>
  <si>
    <t>Quản lý rủi ro hoạt động được áp dụng ở một số bộ phận, đơn vị chức năng.</t>
  </si>
  <si>
    <t>Quản lý rủi ro hoạt động được áp dụng trên hầu hết các bộ phận chức năng.</t>
  </si>
  <si>
    <t>Quản trị rủi ro hoạt động được áp dụng đầy đủ trong hoạt động của doanh nghiệp.</t>
  </si>
  <si>
    <t>Quản lý rủi ro hoạt động được áp dụng đầy đủ trong hoạt động của doanh nghiệp và các đối tác trong hệ sinh thái của doanh nghiệp.</t>
  </si>
  <si>
    <t>4.1.3</t>
  </si>
  <si>
    <t>Sự tuân thủ</t>
  </si>
  <si>
    <t>Khối Pháp chế và tuân thủ; tuân thủ pháp luật với NHNN/Kiểm toán Nhà nước; ISO 27001, PCI DSS, SWIFT CSP; chính sách bảo vệ dữ liệu cá nhân công khai.</t>
  </si>
  <si>
    <t>26-27; 48-49; 164-165</t>
  </si>
  <si>
    <t>Việc tuân thủ các yêu cầu pháp lý và quy định cũng như áp dụng các tiêu chuẩn chỉ được thực hiện theo sự vụ.</t>
  </si>
  <si>
    <t>Một số bộ phận, đơn vị chức năng tuân thủ các yêu cầu pháp lý và quy định cũng như áp dụng các tiêu chuẩn trong hoạt động của mình.</t>
  </si>
  <si>
    <t>Hầu hết các bộ phận, đơn vị chức năng tuân thủ các yêu cầu pháp lý và quy định cũng như áp dụng các tiêu chuẩn trong hoạt động của mình.</t>
  </si>
  <si>
    <t>Toàn bộ bộ phận, đơn vị chức năng tuân thủ đầy đủ các yêu cầu pháp lý và quy định cũng như áp dụng các tiêu chuẩn trong hoạt động của mình.</t>
  </si>
  <si>
    <t>Toàn bộ bộ phận, đơn vị chức năng và đối tác trong hệ sinh thái tuân thủ đầy đủ các yêu cầu pháp lý và quy định cũng như áp dụng các tiêu chuẩn trong hoạt động của mình.</t>
  </si>
  <si>
    <t>4.1.4</t>
  </si>
  <si>
    <t>Hoạt động bảo đảm vận hành an toàn trong quản lý tài sản doanh nghiệp</t>
  </si>
  <si>
    <t>Nhóm rủi ro công nghệ và kinh doanh liên tục (KDLT); kiến trúc đa trung tâm dữ liệu active-active.</t>
  </si>
  <si>
    <t>48-49; 68-69</t>
  </si>
  <si>
    <t>Hoạt động bảo vệ tài sản của doanh nghiệp chỉ được thực hiện theo sự vụ.</t>
  </si>
  <si>
    <t>Doanh nghiệp đang bảo vệ một phần tài sản của mình.</t>
  </si>
  <si>
    <t>Hoạt động bảo đảm vận hành bảo vệ tài sản doanh nghiệp được thực hiện trong toàn bộ doanh nghiệp.</t>
  </si>
  <si>
    <t>Hoạt động bảo đảm vận hành bảo vệ toàn diện tài sản doanh nghiệp trong thời gian thực trên toàn doanh nghiệp.</t>
  </si>
  <si>
    <t>Hoạt động bảo đảm vận hành bảo vệ hoàn toàn tài sản doanh nghiệp trong thời gian thực trên toàn doanh nghiệp và được thống nhất với các đối tác trong hệ sinh thái của doanh nghiệp.</t>
  </si>
  <si>
    <t>Thiết kế và đổi mới sáng tạo dịch vụ</t>
  </si>
  <si>
    <t>4.2.1</t>
  </si>
  <si>
    <t>Đáp ứng yêu cầu kinh doanh/nghiệp vụ</t>
  </si>
  <si>
    <t>Các yêu cầu nghiệp vụ được chuyển thành Kiến trúc và thiết kế dịch vụ được thực hiện theo sự vụ.</t>
  </si>
  <si>
    <t>Các yêu cầu kinh doanh/nghiệp vụ được hiểu bởi một số bộ phận, đơn vị chức năng và được chuyển thành Kiến trúc và thiết kế dịch vụ.</t>
  </si>
  <si>
    <t>Các yêu cầu kinh doanh/nghiệp vụ được hiểu bởi hầu hết các bộ phận, đơn vị chức năng và được chuyển thành Kiến trúc và thiết kế dịch vụ.</t>
  </si>
  <si>
    <t>Các yêu cầu kinh doanh/nghiệp vụ được doanh nghiệp hiểu đầy đủ và chuyển thành Kiến trúc và thiết kế dịch vụ.</t>
  </si>
  <si>
    <t>Các yêu cầu kinh doanh/nghiệp vụ được doanh nghiệp và các đối tác trong hệ sinh thái của doanh nghiệp hiểu đầy đủ và chuyển thành Kiến trúc và thiết kế dịch vụ.</t>
  </si>
  <si>
    <t>4.2.2</t>
  </si>
  <si>
    <t>Tư duy Thiết kế (Design Thinking)</t>
  </si>
  <si>
    <t>Đào tạo Design Thinking cho cán bộ; UX sprint khi thiết kế ứng dụng.</t>
  </si>
  <si>
    <t>Tư duy Thiết kế chưa được sử dụng.</t>
  </si>
  <si>
    <t>Tư duy Thiết kế được áp dụng bởi một số bộ phận, đơn vị chức năng để hiểu nhu cầu và thách thức của các bên liên quan.</t>
  </si>
  <si>
    <t>Tư duy Thiết kế được hầu hết các bộ phận, đơn vị chức năng áp dụng để hiểu nhu cầu và thách thức của các bên liên quan.</t>
  </si>
  <si>
    <t>Tư duy Thiết kế được doanh nghiệp áp dụng đầy đủ để hiểu nhu cầu và thách thức của các bên liên quan.</t>
  </si>
  <si>
    <t>Tư duy Thiết kế được doanh nghiệp và các đối tác trong hệ sinh thái của doanh nghiệp áp dụng đầy đủ để hiểu nhu cầu và thách thức của các bên liên quan.</t>
  </si>
  <si>
    <t>4.2.3</t>
  </si>
  <si>
    <t>Phát triển linh hoạt</t>
  </si>
  <si>
    <t>2026 thúc đẩy đổi mới sáng tạo theo mô hình Agile kết hợp tự động hóa và AI; kiểm toán nội bộ triển khai theo phương pháp Agile.</t>
  </si>
  <si>
    <t>38-39; 242-243</t>
  </si>
  <si>
    <t>Độ tin cậy: TB. Trang 242-243 (mục Kiểm toán nội bộ).</t>
  </si>
  <si>
    <t>Agile methods chưa được sử dụng.</t>
  </si>
  <si>
    <t>Agile methods được một số bộ phận, đơn vị chức năng áp dụng trong quá trình phát triển và cải tiến sản phẩm.</t>
  </si>
  <si>
    <t>Agile methods được hầu hết các bộ phận, đơn vị chức năng áp dụng trong quá trình phát triển và cải tiến sản phẩm.</t>
  </si>
  <si>
    <t>Agile methods được toàn bộ doanh nghiệp áp dụng trong quá trình phát triển và cải tiến sản phẩm.</t>
  </si>
  <si>
    <t>Agile methods được doanh nghiệp và các đối tác trong hệ sinh thái của doanh nghiệp áp dụng đầy đủ trong quá trình phát triển và cải tiến sản phẩm.</t>
  </si>
  <si>
    <t>4.2.4</t>
  </si>
  <si>
    <t>Tối ưu hóa quy trình</t>
  </si>
  <si>
    <t>Tín dụng SME siêu nhỏ: cắt 100% phê duyệt thủ công, 90% thẩm định, 90% vai trò chi nhánh; L/C nhập khẩu online 100%; tín dụng kênh số CIB 91 nghìn tỷ. Một số quy trình trên BIZ MBBank giảm tới 70% nguồn lực (08/2026).</t>
  </si>
  <si>
    <t>60-61; 68-69; web</t>
  </si>
  <si>
    <t>Tối ưu hóa quy trình được thực hiện theo sự vụ.</t>
  </si>
  <si>
    <t>Một số bộ phận, đơn vị chức năng có tối ưu hóa quy trình hoạt động.</t>
  </si>
  <si>
    <t>Hầu hết các bộ phận, đơn vị chức năng có tối ưu hóa quy trình hoạt động.</t>
  </si>
  <si>
    <t>Các quy trình vận hành được doanh nghiệp tối ưu hóa hoàn toàn bất cứ khi nào có thể.</t>
  </si>
  <si>
    <t>Các quy trình vận hành được doanh nghiệp và các đối tác trong hệ sinh thái của doanh nghiệp tối ưu hóa hoàn toàn bất cứ khi nào có thể.</t>
  </si>
  <si>
    <t>4.2.5</t>
  </si>
  <si>
    <t>Đổi mới liên tục sản phẩm và dịch vụ</t>
  </si>
  <si>
    <t>Ra mắt BeeRich, MB Junior, MB Seller, loa thanh toán MB; chương trình FlexiZ thu hút ~2.400 nhân sự 'dám nghĩ dám làm'; trung bình 10 ngày một dự án công nghệ.</t>
  </si>
  <si>
    <t>36-37; 56-57; 192-193</t>
  </si>
  <si>
    <t>Đổi mới sáng tạo được thực hiện theo sự vụ.</t>
  </si>
  <si>
    <t>Một số bộ phận, đơn vị chức năng đổi mới để cải thiện các dịch vụ hiện có và giới thiệu những dịch vụ mới.</t>
  </si>
  <si>
    <t>Hầu hết các bộ phận, đơn vị chức năng đổi mới để cải thiện các dịch vụ hiện có và giới thiệu những dịch vụ mới.</t>
  </si>
  <si>
    <t>Doanh nghiệp liên tục đổi mới để cải thiện các dịch vụ hiện có và giới thiệu những dịch vụ mới.</t>
  </si>
  <si>
    <t>Doanh nghiệp và các đối tác trong hệ sinh thái của mình liên tục đổi mới để cải thiện các dịch vụ hiện có và giới thiệu các dịch vụ mới.</t>
  </si>
  <si>
    <t>4.2.6</t>
  </si>
  <si>
    <t>Hợp tác với đối tác</t>
  </si>
  <si>
    <t>Hơn 1.100 đối tác kết nối BaaS; mô hình đại lý ngân hàng; hợp tác Qualtrics; tích hợp dịch vụ vào ví điện tử, sàn TMĐT, ứng dụng gọi xe.</t>
  </si>
  <si>
    <t>36-37; 172-173; 208-209</t>
  </si>
  <si>
    <t>Hợp tác đối tác được thực hiện theo sự vụ.</t>
  </si>
  <si>
    <t>Một số bộ phận, đơn vị chức năng có quy trình Hợp tác đối tác hiệu quả.</t>
  </si>
  <si>
    <t>Hầu hết các bộ phận, đơn vị chức năng đều có quy trình Hợp tác đối tác hiệu quả.</t>
  </si>
  <si>
    <t>Doanh nghiệp có một quy trình hiệu quả để Hợp tác các đối tác.</t>
  </si>
  <si>
    <t>Doanh nghiệp và các đối tác trong hệ sinh thái của mình có một quy trình hiệu quả để Hợp tác các đối tác.</t>
  </si>
  <si>
    <t>Chuyển tiếp/Triển khai dịch vụ</t>
  </si>
  <si>
    <t>4.3.1</t>
  </si>
  <si>
    <t>Quản lý thay đổi hoạt động</t>
  </si>
  <si>
    <t>Mọi yêu cầu thay đổi hệ thống CNTT phải được đánh giá đầy đủ rủi ro và tác động trước khi triển khai.</t>
  </si>
  <si>
    <t>48-49</t>
  </si>
  <si>
    <t>Quản lý thay đổi được thực hiện theo sự vụ.</t>
  </si>
  <si>
    <t>Một số bộ phận, đơn vị chức năng đã thống nhất và xác định trách nhiệm quản lý thay đổi.</t>
  </si>
  <si>
    <t>Hầu hết các bộ phận, đơn vị chức năng đã thống nhất và xác định trách nhiệm quản lý thay đổi.</t>
  </si>
  <si>
    <t>Doanh nghiệp đã xác định rõ ràng trách nhiệm quản lý thay đổi.</t>
  </si>
  <si>
    <t>Doanh nghiệp và các đối tác trong hệ sinh thái của doanh nghiệp đã thống nhất và xác định rõ trách nhiệm đối với việc quản lý thay đổi.</t>
  </si>
  <si>
    <t>4.3.2</t>
  </si>
  <si>
    <t>Quản lý phát hành</t>
  </si>
  <si>
    <t>1.967 lượt kiểm thử an ninh yêu cầu phát triển trước go-live.</t>
  </si>
  <si>
    <t>210-211</t>
  </si>
  <si>
    <t>Độ tin cậy: Thấp. Là cổng kiểm soát trước phát hành, chưa có mô tả quy trình quản lý phát hành đầy đủ.</t>
  </si>
  <si>
    <t>Quản lý phát hành được thực hiện theo sự vụ.</t>
  </si>
  <si>
    <t>Cách tiếp cận Quản lý phát hành được một số bộ phận bộ phận, đơn vị chức năng đồng ý và áp dụng.</t>
  </si>
  <si>
    <t>Cách tiếp cận Quản lý phát hành được hầu hết các bộ phận bộ phận, đơn vị chức năng đồng ý và áp dụng.</t>
  </si>
  <si>
    <t>Cách tiếp cận Quản lý phát hành linh hoạt, được thống nhất và áp dụng trong toàn doanh nghiệp.</t>
  </si>
  <si>
    <t>Cách tiếp cận Quản lý phát hành linh hoạt, được thống nhất và áp dụng trong toàn doanh nghiệp và các đối tác trong hệ sinh thái của doanh nghiệp.</t>
  </si>
  <si>
    <t>4.3.3</t>
  </si>
  <si>
    <t>DevSecOps</t>
  </si>
  <si>
    <t>Kiểm thử an ninh trước go-live (1.967 lượt), rà soát định kỳ; 2026 triển khai Automation Pentest.</t>
  </si>
  <si>
    <t>MB, Báo cáo thường niên 2025 (công bố 30/03/2026); itviec.com, tin tuyển dụng DevOps/DevSecOps Engineer - Khối CNTT MB Bank (2025-2026)</t>
  </si>
  <si>
    <t>DevSecOps chưa được sử dụng.</t>
  </si>
  <si>
    <t>Các nguyên tắc DevSecOps đang bắt đầu được xác định.</t>
  </si>
  <si>
    <t>Các nguyên tắc DevSecOps được xác định và bắt đầu được giới thiệu.</t>
  </si>
  <si>
    <t>Các nguyên tắc DevSecOps được doanh nghiệp áp dụng triệt để.</t>
  </si>
  <si>
    <t>Các nguyên tắc DevSecOps được doanh nghiệp và các đối tác trong hệ sinh thái của doanh nghiệp áp dụng đầy đủ.</t>
  </si>
  <si>
    <t>4.3.4</t>
  </si>
  <si>
    <t>CI/CD</t>
  </si>
  <si>
    <t>Công cụ CI/CD, IaC: GitLab, Jenkins, Nexus, Ansible.</t>
  </si>
  <si>
    <t>CI/CD chưa được sử dụng.</t>
  </si>
  <si>
    <t>Quy trình công việc CI/CD đang bắt đầu được xác định.</t>
  </si>
  <si>
    <t>Quy trình công việc CI/CD được ghi lại đang bắt đầu được giới thiệu.</t>
  </si>
  <si>
    <t>Doanh nghiệp vận hành quy trình công việc CI/CD được ưu tiên và ghi chép đầy đủ.</t>
  </si>
  <si>
    <t>Doanh nghiệp và các đối tác trong hệ sinh thái của doanh nghiệp vận hành quy trình làm việc CI/CD được ưu tiên và ghi chép đầy đủ.</t>
  </si>
  <si>
    <t>Vận hành dịch vụ</t>
  </si>
  <si>
    <t>4.4.1</t>
  </si>
  <si>
    <t>Đảm bảo dịch vụ</t>
  </si>
  <si>
    <t>Tỷ lệ xử lý thành công 99,5% trên 37 triệu request/ngày; active-active toàn thời gian; giao dịch số thành công 99,97% (2024).</t>
  </si>
  <si>
    <t>Đảm bảo dịch vụ được thực hiện theo sự vụ.</t>
  </si>
  <si>
    <t>Đảm bảo dịch vụ được ban hành nhưng thỉnh thoảng các dịch vụ mới đạt được - Mức hiệu suất đã thỏa thuận.</t>
  </si>
  <si>
    <t>Đảm bảo dịch vụ được áp dụng và các dịch vụ đang hoạt động ở - Mức hiệu suất đã thỏa thuận.</t>
  </si>
  <si>
    <t>Đảm bảo dịch vụ được áp dụng và các dịch vụ do doanh nghiệp cung cấp đang hoạt động ở - Mức hiệu suất đã thỏa thuận và liên tục cải thiện.</t>
  </si>
  <si>
    <t>Đảm bảo dịch vụ được áp dụng và các dịch vụ do doanh nghiệp và các đối tác trong hệ sinh thái của doanh nghiệp cung cấp đang hoạt động ở - Mức hiệu suất đã thỏa thuận và liên tục cải thiện.</t>
  </si>
  <si>
    <t>4.4.2</t>
  </si>
  <si>
    <t>SRE</t>
  </si>
  <si>
    <t>SRE chưa được sử dụng.</t>
  </si>
  <si>
    <t>SRE được thực hiện một phần bởi doanh nghiệp.</t>
  </si>
  <si>
    <t>SRE được thực hiện bởi doanh nghiệp.</t>
  </si>
  <si>
    <t>SRE được doanh nghiệp triển khai hiệu quả để cung cấp các hoạt động dịch vụ không có lỗi.</t>
  </si>
  <si>
    <t>SRE được doanh nghiệp và các đối tác trong hệ sinh thái của doanh nghiệp triển khai hiệu quả để cung cấp các hoạt động dịch vụ không có lỗi.</t>
  </si>
  <si>
    <t>4.4.3</t>
  </si>
  <si>
    <t>Hoạt động chuỗi cung ứng</t>
  </si>
  <si>
    <t>Hoạt động chuỗi cung ứng chưa linh hoạt và chưa kịp thời.</t>
  </si>
  <si>
    <t>Hoạt động chuỗi cung ứng có tính linh hoạt hạn chế.</t>
  </si>
  <si>
    <t>Hoạt động chuỗi cung ứng linh hoạt.</t>
  </si>
  <si>
    <t>Hoạt động chuỗi cung ứng linh hoạt và có thể phản ứng kịp thời với những thay đổi.</t>
  </si>
  <si>
    <t>Hoạt động chuỗi cung ứng của doanh nghiệp và các đối tác trong hệ sinh thái của doanh nghiệp rất linh hoạt và có thể phản ứng kịp thời với những thay đổi.</t>
  </si>
  <si>
    <t>4.4.4</t>
  </si>
  <si>
    <t>Đáp ứng yêu cầu sản phẩm và dịch vụ của khách hàng</t>
  </si>
  <si>
    <t>SME siêu nhỏ nhận kết quả phê duyệt 1-2 ngày; L/C nhập khẩu online 100%; giải ngân 24/7; tái cấp hạn mức tự động.</t>
  </si>
  <si>
    <t>Đáp ứng yêu cầu sản phẩm và dịch vụ được thực hiện theo sự vụ.</t>
  </si>
  <si>
    <t>Đáp ứng yêu cầu sản phẩm và dịch vụ đang bắt đầu để đảm bảo rằng các sản phẩm hoàn chỉnh và theo yêu cầu của khách hàng.</t>
  </si>
  <si>
    <t>Đáp ứng yêu cầu sản phẩm và dịch vụ đảm bảo các sản phẩm được cung cấp bởi doanh nghiệp là hoàn chỉnh và thường theo yêu cầu.</t>
  </si>
  <si>
    <t>Đáp ứng yêu cầu sản phẩm và dịch vụ đảm bảo các sản phẩm do doanh nghiệp cung cấp luôn đầy đủ và có sẵn theo yêu cầu.</t>
  </si>
  <si>
    <t>Đáp ứng yêu cầu sản phẩm và dịch vụ đảm bảo các sản phẩm do doanh nghiệp và các đối tác trong hệ sinh thái của doanh nghiệp cung cấp luôn đầy đủ và sẵn sàng theo yêu cầu.</t>
  </si>
  <si>
    <t>4.4.5</t>
  </si>
  <si>
    <t>Giám sát hoạt động</t>
  </si>
  <si>
    <t>Bộ công cụ giám sát hệ thống thông minh rút ngắn 30% thời gian phát hiện sự cố; giám sát an ninh 657.000 cảnh báo.</t>
  </si>
  <si>
    <t>16-17; 68-69; 210-211</t>
  </si>
  <si>
    <t>Giám sát hoạt động được thực hiện theo sự vụ.</t>
  </si>
  <si>
    <t>Giám sát hoạt động cung cấp cái nhìn một phần về hiệu suất dịch vụ để quản lý các dịch vụ do doanh nghiệp cung cấp.</t>
  </si>
  <si>
    <t>Giám sát hoạt động cung cấp một cái nhìn toàn diện về hiệu suất dịch vụ để quản lý các dịch vụ do doanh nghiệp cung cấp.</t>
  </si>
  <si>
    <t>Giám sát hoạt động cung cấp một cái nhìn tổng thể theo thời gian thực về hiệu suất dịch vụ để quản lý và cải thiện các dịch vụ do doanh nghiệp cung cấp.</t>
  </si>
  <si>
    <t>Giám sát hoạt động cung cấp một cái nhìn tổng thể theo thời gian thực về hiệu suất dịch vụ để quản lý và cải thiện các dịch vụ do doanh nghiệp và các đối tác trong hệ sinh thái của doanh nghiệp cung cấp.</t>
  </si>
  <si>
    <t>4.4.6</t>
  </si>
  <si>
    <t>Hoạt động quản lý doanh thu</t>
  </si>
  <si>
    <t>Các công nghệ số chưa được doanh nghiệp sử dụng để đảm bảo doanh thu.</t>
  </si>
  <si>
    <t>Các công nghệ số được doanh nghiệp sử dụng một phần để đảm bảo doanh thu.</t>
  </si>
  <si>
    <t>Các công nghệ số được doanh nghiệp sử dụng để đảm bảo doanh thu.</t>
  </si>
  <si>
    <t>Các công nghệ số được doanh nghiệp sử dụng rộng rãi để đảm bảo doanh thu theo thời gian thực.</t>
  </si>
  <si>
    <t>Các công nghệ số được doanh nghiệp và các đối tác trong hệ sinh thái của doanh nghiệp sử dụng rộng rãi để đảm bảo doanh thu theo thời gian thực.</t>
  </si>
  <si>
    <t>4.4.7</t>
  </si>
  <si>
    <t>Hoạt động quản lý gian lận</t>
  </si>
  <si>
    <t>Hệ thống quản lý gian lận/AML dùng big data, rule-based + ML, giám sát realtime/near-realtime/batch; chuyển giao phương pháp cho các công ty thành viên; App Protection kết nối A05, Simo.</t>
  </si>
  <si>
    <t>16-17; 46-47</t>
  </si>
  <si>
    <t>Độ tin cậy: Cao. Có thể xem xét mức 5 do mở rộng đến công ty thành viên và cơ quan chức năng; hiện giữ 4.</t>
  </si>
  <si>
    <t>Các công nghệ số chưa được doanh nghiệp sử dụng để ngăn chặn rủi ro.</t>
  </si>
  <si>
    <t>Các công nghệ số được doanh nghiệp sử dụng một phần để ngăn chặn gian lận.</t>
  </si>
  <si>
    <t>Các công nghệ số được doanh nghiệp sử dụng để ngăn chặn gian lận.</t>
  </si>
  <si>
    <t>Các công nghệ số được doanh nghiệp sử dụng rộng rãi để ngăn chặn gian lận trong thời gian thực.</t>
  </si>
  <si>
    <t>Các công nghệ số được doanh nghiệp và các đối tác trong hệ sinh thái của doanh nghiệp sử dụng rộng rãi để ngăn chặn gian lận trong thời gian thực.</t>
  </si>
  <si>
    <t>4.4.8</t>
  </si>
  <si>
    <t>Vận hành hệ thống</t>
  </si>
  <si>
    <t>Tái thiết kế kiến trúc ứng dụng đa trung tâm dữ liệu cho MB App và hệ thống vệ tinh; tách hệ thống thẻ thành 2 core; xây dựng nền tảng thanh toán tập trung.</t>
  </si>
  <si>
    <t>Nâng cấp, cải tiến hệ thống sẵn có chỉ được thực hiện theo sự vụ.</t>
  </si>
  <si>
    <t>Các hệ thống cũ được nâng cấp và tích hợp một phần vào các hoạt động tổng thể.</t>
  </si>
  <si>
    <t>Các hệ thống cũ được nâng cấp và tích hợp vào các hoạt động tổng thể.</t>
  </si>
  <si>
    <t>Các hệ thống cũ được nâng cấp và tích hợp đầy đủ và liền mạch vào các hoạt động tổng thể.</t>
  </si>
  <si>
    <t>Các hệ thống cũ của doanh nghiệp và đối tác trong hệ sinh thái của doanh nghiệp được nâng cấp và tích hợp đầy đủ và liền mạch vào các hoạt động tổng thể.</t>
  </si>
  <si>
    <t>Giá trị doanh nghiệp</t>
  </si>
  <si>
    <t>5.1.1</t>
  </si>
  <si>
    <t>Hành vi lãnh đạo</t>
  </si>
  <si>
    <t>Phong cách lãnh đạo trao quyền theo văn hóa Agile; lãnh đạo (Phó chủ tịch, TGĐ) trực tiếp truyền thông chiến lược số.</t>
  </si>
  <si>
    <t>baodautu.vn, 'Ngân hàng chuyển đổi số từ bên trong' (MB - văn hóa Agile, Innovation Lab); vietnamfinance.vn, 'Phó chủ tịch MB: Kể chuyện săn nhân tài công nghệ từ năm thứ 2 đại học'</t>
  </si>
  <si>
    <t>Hành vi của lãnh đạo được thực hiện theo sự vụ, chưa có sự liên kết rõ ràng với chiến lược và hoàn cảnh của doanh nghiệp.</t>
  </si>
  <si>
    <t>Hành vi lãnh đạo trong một số bộ phận, đơn vị chức năng phù hợp với chiến lược và bối cảnh của doanh nghiệp.</t>
  </si>
  <si>
    <t>Hành vi lãnh đạo trong hầu hết các bộ phận, đơn vị chức năng phù hợp với chiến lược và bối cảnh của doanh nghiệp.</t>
  </si>
  <si>
    <t>Hành vi lãnh đạo trong toàn doanh nghiệp hoàn toàn phù hợp với chiến lược và bối cảnh của doanh nghiệp.</t>
  </si>
  <si>
    <t>Hành vi lãnh đạo trong toàn doanh nghiệp và các đối tác trong hệ sinh thái hoàn toàn phù hợp với chiến lược và bối cảnh chung của họ.</t>
  </si>
  <si>
    <t>5.1.2</t>
  </si>
  <si>
    <t>Tác động của nhân viên</t>
  </si>
  <si>
    <t>Nhân viên chưa hiểu tác động của họ đối với doanh nghiệp.</t>
  </si>
  <si>
    <t>Nhân viên trong một số bộ phận, đơn vị chức năng hiểu tác động của họ ở cấp độ bộ phận, đơn vị chức năng.</t>
  </si>
  <si>
    <t>Nhân viên trong hầu hết các bộ phận, đơn vị chức năng hiểu tác động của họ ở cấp độ bộ phận, đơn vị chức năng.</t>
  </si>
  <si>
    <t>Tất cả nhân viên của doanh nghiệp hiểu đầy đủ tác động của họ đối với doanh nghiệp.</t>
  </si>
  <si>
    <t>Tất cả nhân viên của doanh nghiệp và các đối tác trong hệ sinh thái của doanh nghiệp hiểu đầy đủ về tác động và đóng góp của họ đối với hoạt động kinh doanh chung của họ.</t>
  </si>
  <si>
    <t>5.1.3</t>
  </si>
  <si>
    <t>Giá trị được chia sẻ</t>
  </si>
  <si>
    <t>Phát động thi đua nội bộ, lan tỏa tư duy số toàn hệ thống; cán bộ tham gia hackathon, hội thi sáng kiến.</t>
  </si>
  <si>
    <t>thitruongtaichinhtiente.vn, 'MB đón Thủ tướng... Ngày chuyển đổi số ngành Ngân hàng 2025'; baolaocai.vn, 'MB: Thi đua thúc đẩy đổi mới, sáng tạo' (2025)</t>
  </si>
  <si>
    <t>Nhân viên chưa biết chiến lược chuyển đổi số.</t>
  </si>
  <si>
    <t>Nhân viên trong một số bộ phận, đơn vị chức năng ủng hộ chiến lược số của doanh nghiệp.</t>
  </si>
  <si>
    <t>Nhân viên ở hầu hết các bộ phận, đơn vị chức năng tin tưởng vào chiến lược số của doanh nghiệp.</t>
  </si>
  <si>
    <t>Tất cả nhân viên hoàn toàn tin tưởng vào chiến lược số của doanh nghiệp.</t>
  </si>
  <si>
    <t>Tất cả nhân viên hoàn toàn đồng ý với chiến lược số được chia sẻ của doanh nghiệp và các đối tác trong hệ sinh thái của doanh nghiệp.</t>
  </si>
  <si>
    <t>5.1.4</t>
  </si>
  <si>
    <t>Thất bại có kiểm soát</t>
  </si>
  <si>
    <t>Khuyến khích tinh thần 'dám nghĩ dám làm', môi trường đề cao sáng tạo và khuyến khích đổi mới; chương trình FlexiZ.</t>
  </si>
  <si>
    <t>76-77; 192-193</t>
  </si>
  <si>
    <t>Văn hóa chưa khuyến khích sự minh bạch và sự thất bại.</t>
  </si>
  <si>
    <t>Một số bộ phận, đơn vị chức năng có văn hóa cho phép “thất bại trong một giới hạn nhất định” với các cơ chế được áp dụng để giảm thiểu các tác động ảnh hưởng.</t>
  </si>
  <si>
    <t>Hầu hết các bộ phận, đơn vị chức năng có văn hóa cho phép “thất bại trong một giới hạn nhất định” với các cơ chế được áp dụng để giảm thiểu các tác động ảnh hưởng.</t>
  </si>
  <si>
    <t>Toàn bộ doanh nghiệp có văn hóa cho phép “thất bại trong một giới hạn nhất định” với các cơ chế được áp dụng để giảm thiểu các tác động ảnh hưởng.</t>
  </si>
  <si>
    <t>Toàn bộ doanh nghiệp và các đối tác trong hệ sinh thái của doanh nghiệp có văn hóa cho phép “thất bại trong 1 giới hạn nhất định” với các cơ chế được áp dụng để giảm thiểu các tác động ảnh hưởng.</t>
  </si>
  <si>
    <t>5.1.5</t>
  </si>
  <si>
    <t>Cộng tác ảo</t>
  </si>
  <si>
    <t>100% cán bộ dùng chữ ký số cá nhân; &gt;30% văn bản không mật phát hành bằng chữ ký số toàn trình; 70% cuộc họp thường xuyên trực tuyến; 80% hội thi có trắc nghiệm trên phần mềm.</t>
  </si>
  <si>
    <t>208-209</t>
  </si>
  <si>
    <t>Cộng tác ảo được thực hiện theo sự vụ.</t>
  </si>
  <si>
    <t>Một số bộ phận, đơn vị chức năng có khả năng cho phép cộng tác ảo.</t>
  </si>
  <si>
    <t>Hầu hết các bộ phận, đơn vị chức năng đều có khả năng cộng tác ảo.</t>
  </si>
  <si>
    <t>Toàn bộ doanh nghiệp có khả năng toàn diện cộng tác ảo trong và giữa các bộ phận, đơn vị chức năng.</t>
  </si>
  <si>
    <t>Toàn bộ doanh nghiệp và các đối tác trong hệ sinh thái của doanh nghiệp có khả năng toàn diện cộng tác ảo trong và giữa các bộ phận, đơn vị chức năng.</t>
  </si>
  <si>
    <t>5.1.6</t>
  </si>
  <si>
    <t>Sự hòa nhập</t>
  </si>
  <si>
    <t>Cam kết cơ hội bình đẳng nam-nữ; nữ 7.950/13.047 nhân sự ngân hàng (~61%).</t>
  </si>
  <si>
    <t>188-189</t>
  </si>
  <si>
    <t>Các hoạt động thúc đẩy sự hòa nhập trong doanh nghiệp chỉ được thực hiện theo sự vụ.</t>
  </si>
  <si>
    <t>Một số bộ phận, đơn vị chức năng thúc đẩy toàn diện sự hòa nhập.</t>
  </si>
  <si>
    <t>Hầu hết các bộ phận, đơn vị chức năng thúc đẩy toàn diện sự hòa nhập.</t>
  </si>
  <si>
    <t>doanh nghiệp hoàn toàn chấp nhận sự hòa nhập.</t>
  </si>
  <si>
    <t>Doanh nghiệp và các đối tác hệ sinh thái của doanh nghiệp hoàn toàn chấp nhận sự hòa nhập.</t>
  </si>
  <si>
    <t>Quản lý tài năng</t>
  </si>
  <si>
    <t>5.2.1</t>
  </si>
  <si>
    <t>Chính sách đãi ngộ</t>
  </si>
  <si>
    <t>Chính sách đãi ngộ linh hoạt, đa tầng; thu nhập BQ 39,4 triệu đồng/người/tháng (+5,3%); đánh giá bằng KPI, BSC, OKR.</t>
  </si>
  <si>
    <t>76-77; 188-189</t>
  </si>
  <si>
    <t>Độ tin cậy: TB. Chưa có tuyên bố gắn riêng với chiến lược số.</t>
  </si>
  <si>
    <t>Chính sách đãi ngộ được áp dụng một cách cứng nhắc và chưa thúc đẩy chiến lược chuyển đổi số.</t>
  </si>
  <si>
    <t>Chính sách đãi ngộ hoàn toàn phù hợp với và được hiển thị để thúc đẩy chiến lược số của một số bộ phận, đơn vị chức năng.</t>
  </si>
  <si>
    <t>Chính sách đãi ngộ hoàn toàn phù hợp và được hiển thị để thúc đẩy chiến lược số của hầu hết các bộ phận, đơn vị chức năng.</t>
  </si>
  <si>
    <t>Chính sách đãi ngộ hoàn toàn phù hợp và được thể hiện để thúc đẩy chiến lược số của doanh nghiệp.</t>
  </si>
  <si>
    <t>Chính sách đãi ngộ hoàn toàn phù hợp và được thể hiện để thúc đẩy chiến lược số của doanh nghiệp và các đối tác trong hệ sinh thái của doanh nghiệp.</t>
  </si>
  <si>
    <t>5.2.2</t>
  </si>
  <si>
    <t>Năng lực cơ bản</t>
  </si>
  <si>
    <t>Áp dụng mô hình Job Grading (năng lực theo từng vị trí) trong tuyển dụng/hồ sơ năng lực.</t>
  </si>
  <si>
    <t>due.udn.vn, 'MB Bank chia sẻ bí quyết chinh phục nhà tuyển dụng' - MB Fast Track 2025 (24/11/2025)</t>
  </si>
  <si>
    <t>Doanh nghiệp chưa có một hồ sơ cấu trúc về năng lực của lực lượng lao động.</t>
  </si>
  <si>
    <t>Một số bộ phận, đơn vị chức năng chưa có một hồ sơ cấu trúc về năng lực của lực lượng lao động của họ.</t>
  </si>
  <si>
    <t>Hầu hết các bộ phận, đơn vị chức năng đã có một hồ sơ cấu trúc về năng lực của lực lượng lao động của họ.</t>
  </si>
  <si>
    <t>Toàn bộ doanh nghiệp có một hồ sơ cấu trúc chính xác về năng lực của lực lượng lao động của mình.</t>
  </si>
  <si>
    <t>Toàn bộ doanh nghiệp và các đối tác trong hệ sinh thái của doanh nghiệp có hồ sơ cấu trúc chính xác về năng lực của lực lượng lao động được chia sẻ.</t>
  </si>
  <si>
    <t>5.2.3</t>
  </si>
  <si>
    <t>Lập kế hoạch phát triển lực lượng lao động</t>
  </si>
  <si>
    <t>Định vị nhân sự '4.0'; quản trị nhân tài theo vòng đời, dựa trên dữ liệu và trải nghiệm; quy hoạch cán bộ, rà soát lộ trình công danh định kỳ.</t>
  </si>
  <si>
    <t>Các kỹ năng cần thiết để triển khai chiến lược chuyển đổi số được xác định được thực hiện theo sự vụ.</t>
  </si>
  <si>
    <t>Một số bộ phận có sẵn quy trình xác định các kỹ năng cần thiết để thực hiện chiến lược số.</t>
  </si>
  <si>
    <t>Hầu hết các bộ phận, đơn vị chức năng đều có quy trình hiệu quả để xác định các kỹ năng cần thiết để thực hiện chiến lược số.</t>
  </si>
  <si>
    <t>Toàn bộ doanh nghiệp có sẵn một quy trình hiệu quả để xác định các kỹ năng cần thiết để thực hiện chiến lược số.</t>
  </si>
  <si>
    <t>Toàn bộ doanh nghiệp và các đối tác trong hệ sinh thái của doanh nghiệp có một quy trình hiệu quả để xác định các kỹ năng cần thiết nhằm thực hiện chiến lược số.</t>
  </si>
  <si>
    <t>5.2.4</t>
  </si>
  <si>
    <t>Thu hút nhân tài</t>
  </si>
  <si>
    <t>Tuyển mới 2.856 nhân sự trong 2025; nhân sự IT và dữ liệu 11,9% tổng nhân sự; giữ chân, thu hút nhân tài công nghệ, dữ liệu; MB Fast Track 2025.</t>
  </si>
  <si>
    <t>MB, Báo cáo thường niên 2025 (công bố 30/03/2026); due.udn.vn, 'MB Bank chia sẻ bí quyết chinh phục nhà tuyển dụng' - MB Fast Track 2025 (24/11/2025)</t>
  </si>
  <si>
    <t>68-69; 76-77</t>
  </si>
  <si>
    <t>Các kỹ năng cần thiết để doanh nghiệp triển khai chiến lược chuyển đổi số.</t>
  </si>
  <si>
    <t>Một số bộ phận, đơn vị chức năng có sẵn quy trình để đạt các kỹ năng cần thiết để thực hiện chiến lược số.</t>
  </si>
  <si>
    <t>Hầu hết các bộ phận, đơn vị chức năng đều có quy trình hiệu quả để đạt các kỹ năng cần thiết nhằm thực hiện chiến lược số, bao gồm cả việc sử dụng các nguồn lực nhân tài phi truyền thống.</t>
  </si>
  <si>
    <t>Toàn bộ doanh nghiệp có quy trình hiệu quả để đạt các kỹ năng cần thiết nhằm thực hiện chiến lược số, bao gồm cả việc sử dụng các nguồn lực nhân tài phi truyền thống.</t>
  </si>
  <si>
    <t>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t>
  </si>
  <si>
    <t>5.2.5</t>
  </si>
  <si>
    <t>Nhóm tài năng bên ngoài</t>
  </si>
  <si>
    <t>Làm việc với sinh viên từ năm 2 đại học, chương trình thực tập, workshop với trường đại học.</t>
  </si>
  <si>
    <t>vietnamfinance.vn, 'Phó chủ tịch MB: Kể chuyện săn nhân tài công nghệ từ năm thứ 2 đại học'; due.udn.vn, 'MB Bank chia sẻ bí quyết chinh phục nhà tuyển dụng' - MB Fast Track 2025 (24/11/2025)</t>
  </si>
  <si>
    <t>Doanh nghiệp chưa nuôi dưỡng nguồn tài năng bên ngoài.</t>
  </si>
  <si>
    <t>Một số bộ phận, đơn vị chức năng đã thiết lập một nhóm tài năng từ những nhân viên tiềm năng.</t>
  </si>
  <si>
    <t>Hầu hết bộ phận, đơn vị chức năng đã thiết lập một nhóm tài năng từ những nhân viên tiềm năng.</t>
  </si>
  <si>
    <t>Toàn bộ doanh nghiệp được coi là một nhà tuyển dụng hấp dẫn với đội ngũ nhân tài tiềm năng đã được thiết lập.</t>
  </si>
  <si>
    <t>Toàn bộ doanh nghiệp và các đối tác trong hệ sinh thái của doanh nghiệp được coi là những nhà tuyển dụng hấp dẫn với đội ngũ nhân tài tiềm năng lâu đời.</t>
  </si>
  <si>
    <t>5.2.6</t>
  </si>
  <si>
    <t>Phát triển tài năng</t>
  </si>
  <si>
    <t>Đào tạo theo lộ trình công danh; FlexiZ ~2.400 nhân sự (gấp 1,5 lần 2023); số giờ đào tạo BQ 37 giờ (2025) so với 21 giờ (2024); quản trị nhân tài theo vòng đời.</t>
  </si>
  <si>
    <t>Việc phát triển tài năng chỉ được thực hiện theo sự vụ.</t>
  </si>
  <si>
    <t>Một số bộ phận, đơn vị chức năng có quy trình phát triển nhân tài.</t>
  </si>
  <si>
    <t>Hầu hết các bộ phận, đơn vị chức năng đều có quy trình phát triển nhân tài hiệu quả.</t>
  </si>
  <si>
    <t>Toàn bộ doanh nghiệp có quy trình phát triển nhân tài hiệu quả.</t>
  </si>
  <si>
    <t>Toàn bộ doanh nghiệp và các đối tác trong hệ sinh thái của doanh nghiệp có một quy trình hiệu quả để phát triển tài năng.</t>
  </si>
  <si>
    <t>5.2.7</t>
  </si>
  <si>
    <t>Học tập trên môi trường số</t>
  </si>
  <si>
    <t>Đào tạo gắn tình huống kinh doanh, coaching; 80% hội thi trắc nghiệm thực hiện trên phần mềm; tăng giờ đào tạo (37 giờ).</t>
  </si>
  <si>
    <t>76-77; 208-209</t>
  </si>
  <si>
    <t>Độ tin cậy: Thấp. Chưa có số liệu riêng về học tập trực tuyến.</t>
  </si>
  <si>
    <t>Học tập trên môi trường số chỉ được thực hiện theo sự vụ.</t>
  </si>
  <si>
    <t>Học tập trên môi trường số đang mang lại giá trị kinh doanh ở một số bộ phận, đơn vị chức năng.</t>
  </si>
  <si>
    <t>Học tập trên môi trường số đang mang lại giá trị kinh doanh trên hầu hết các bộ phận, đơn vị chức năng.</t>
  </si>
  <si>
    <t>Học tập trên môi trường số đang mang lại giá trị kinh doanh rõ ràng trong doanh nghiệp.</t>
  </si>
  <si>
    <t>Học tập trên môi trường số đang mang lại giá trị kinh doanh rõ ràng trong và trên toàn doanh nghiệp cũng như các đối tác trong hệ sinh thái của doanh nghiệp.</t>
  </si>
  <si>
    <t>5.2.8</t>
  </si>
  <si>
    <t>Sự gắn kết của người lao động</t>
  </si>
  <si>
    <t>Điểm văn hóa tổ chức (Core/Self/Group) cao hơn bình quân thị trường theo HR Asia; Happiness at Work 2024.</t>
  </si>
  <si>
    <t>znews.vn, 'MB vào top nơi làm việc tốt nhất châu Á' (HR Asia); itviec.com/nha-tuyen-dung/mb-bank (hồ sơ nhà tuyển dụng MB)</t>
  </si>
  <si>
    <t>Độ tin cậy: Thấp. Đánh giá do tổ chức bên ngoài thực hiện.</t>
  </si>
  <si>
    <t>Sự gắn kết của người lao động chưa được đo lường.</t>
  </si>
  <si>
    <t>Doanh nghiệp đang bắt đầu đánh giá sự gắn kết của người lao động.</t>
  </si>
  <si>
    <t>Doanh nghiệp thường xuyên đánh giá sự gắn kết của người lao động.</t>
  </si>
  <si>
    <t>Doanh nghiệp thường xuyên đánh giá sự gắn kết của người lao động và tạo ra các kế hoạch hành động nhằm thúc đẩy cải tiến sự gắn kết.</t>
  </si>
  <si>
    <t>Doanh nghiệp và các đối tác trong hệ sinh thái của doanh nghiệp thường xuyên đánh giá - Mức độ gắn kết của người lao động và lập kế hoạch hành động nhằm thúc đẩy cải tiến sự gắn kết.</t>
  </si>
  <si>
    <t>Hỗ trợ môi trường làm việc</t>
  </si>
  <si>
    <t>5.3.1</t>
  </si>
  <si>
    <t>Môi trường thúc đẩy năng suất</t>
  </si>
  <si>
    <t>Năng suất lao động tăng ~25%/năm trong 3 năm với số nhân sự giữ nguyên.</t>
  </si>
  <si>
    <t>znews.vn, 'MB vào top nơi làm việc tốt nhất châu Á' (HR Asia)</t>
  </si>
  <si>
    <t>Môi trường làm việc chưa chú trọng xem xét thúc đẩy tăng năng suất.</t>
  </si>
  <si>
    <t>Một số bộ phận, đơn vị chức năng đã tạo ra môi trường làm việc thúc đẩy tăng năng suất.</t>
  </si>
  <si>
    <t>Hầu hết các bộ phận, đơn vị chức năng đã tạo ra môi trường làm việc thúc đẩy tăng năng suất.</t>
  </si>
  <si>
    <t>Toàn bộ doanh nghiệp đã tạo ra những môi trường làm việc thúc đẩy tăng năng suất.</t>
  </si>
  <si>
    <t>Toàn bộ doanh nghiệp và các đối tác trong hệ sinh thái của doanh nghiệp đã cùng nhau tạo ra những môi trường làm việc thúc đẩy năng suất một cách tăng.</t>
  </si>
  <si>
    <t>5.3.2</t>
  </si>
  <si>
    <t>Môi trường thúc đẩy đổi mới sáng tạo</t>
  </si>
  <si>
    <t>Innovation Lab (không gian sáng tạo số) từ 2021; hackathon và hội thi sáng kiến thường xuyên với sự tham gia rộng khắp.</t>
  </si>
  <si>
    <t>baodautu.vn, 'Ngân hàng chuyển đổi số từ bên trong' (MB - văn hóa Agile, Innovation Lab); baolaocai.vn, 'MB: Thi đua thúc đẩy đổi mới, sáng tạo' (2025)</t>
  </si>
  <si>
    <t>Nơi làm việc chưa chú trọng xem xét thúc đẩy đổi mới sáng tạo.</t>
  </si>
  <si>
    <t>Một số bộ phận, đơn vị chức năng đã tạo ra môi trường làm việc thúc đẩy đổi mới một cách hiệu quả.</t>
  </si>
  <si>
    <t>Hầu hết các bộ phận, đơn vị chức năng đã tạo ra môi trường làm việc thúc đẩy sự đổi mới một cách hiệu quả.</t>
  </si>
  <si>
    <t>Toàn bộ doanh nghiệp đã tạo ra những môi trường làm việc thúc đẩy sự đổi mới một cách hiệu quả.</t>
  </si>
  <si>
    <t>Toàn bộ doanh nghiệp và các đối tác trong hệ sinh thái của doanh nghiệp đã cùng nhau tạo ra những môi trường làm việc thúc đẩy sự đổi mới một cách hiệu quả.</t>
  </si>
  <si>
    <t>5.3.3</t>
  </si>
  <si>
    <t>Công cụ thúc đẩy tăng năng suất</t>
  </si>
  <si>
    <t>RPA, AI toàn trình trong phát triển phần mềm (tiết kiệm 60% thời gian), chữ ký số 100% cán bộ, họp trực tuyến.</t>
  </si>
  <si>
    <t>68-69; 208-209</t>
  </si>
  <si>
    <t>Công cụ chưa có sẵn để thúc đẩy tăng năng suất.</t>
  </si>
  <si>
    <t>Một số bộ phận, đơn vị chức năng có một bộ công cụ toàn diện giúp thúc đẩy tăng năng suất.</t>
  </si>
  <si>
    <t>Hầu hết các bộ phận, đơn vị chức năng đều có một bộ công cụ toàn diện giúp thúc đẩy tăng năng suất.</t>
  </si>
  <si>
    <t>Toàn bộ doanh nghiệp có một bộ công cụ toàn diện giúp thúc đẩy tăng năng suất.</t>
  </si>
  <si>
    <t>Toàn bộ doanh nghiệp và các đối tác trong hệ sinh thái của doanh nghiệp có một bộ công cụ toàn diện giúp thúc đẩy năng suất một cách tăng.</t>
  </si>
  <si>
    <t>5.3.4</t>
  </si>
  <si>
    <t>Công cụ thúc đẩy đổi mới sáng tạo</t>
  </si>
  <si>
    <t>Innovation Lab, nền tảng tổ chức hackathon/cuộc thi ý tưởng sản phẩm số.</t>
  </si>
  <si>
    <t>Doanh nghiệp chưa có công cụ để thúc đẩy đổi mới sáng tạo.</t>
  </si>
  <si>
    <t>Một số bộ phận, đơn vị chức năng có một bộ công cụ toàn diện giúp thúc đẩy đổi mới một cách hiệu quả.</t>
  </si>
  <si>
    <t>Hầu hết các bộ phận, đơn vị chức năng đều có một bộ công cụ toàn diện giúp thúc đẩy đổi mới một cách hiệu quả.</t>
  </si>
  <si>
    <t>Toàn bộ doanh nghiệp có một bộ công cụ toàn diện giúp thúc đẩy đổi mới một cách hiệu quả</t>
  </si>
  <si>
    <t>Toàn bộ doanh nghiệp và các đối tác trong hệ sinh thái của mình có một bộ công cụ toàn diện giúp thúc đẩy đổi mới một cách hiệu quả.</t>
  </si>
  <si>
    <t>5.3.5</t>
  </si>
  <si>
    <t>Chính sách thúc đẩy tăng năng suất</t>
  </si>
  <si>
    <t>Chính sách làm việc chưa thúc đẩy tăng năng suất.</t>
  </si>
  <si>
    <t>Một số bộ phận, đơn vị chức năng có các chính sách làm việc giúp thúc đẩy tăng năng suất.</t>
  </si>
  <si>
    <t>Hầu hết các bộ phận, đơn vị chức năng đều duy trì các chính sách làm việc nhằm thúc đẩy tăng năng suất.</t>
  </si>
  <si>
    <t>Toàn bộ doanh nghiệp duy trì các chính sách làm việc thúc đẩy tăng năng suất.</t>
  </si>
  <si>
    <t>Toàn bộ doanh nghiệp và các đối tác trong hệ sinh thái của mình cùng nhau duy trì các chính sách làm việc nhằm thúc đẩy năng suất một cách tăng.</t>
  </si>
  <si>
    <t>5.3.6</t>
  </si>
  <si>
    <t>Chính sách thúc đẩy đổi mới sáng tạo</t>
  </si>
  <si>
    <t>Phong trào thi đua, hội thi sáng kiến, hackathon, cuộc thi ý tưởng sản phẩm số là chính sách thường xuyên.</t>
  </si>
  <si>
    <t>baolaocai.vn, 'MB: Thi đua thúc đẩy đổi mới, sáng tạo' (2025)</t>
  </si>
  <si>
    <t>Chính sách làm việc chưa thúc đẩy đổi mới sáng tạo.</t>
  </si>
  <si>
    <t>Một số bộ phận, đơn vị chức năng có các chính sách làm việc giúp thúc đẩy đổi mới một cách hiệu quả.</t>
  </si>
  <si>
    <t>Hầu hết các bộ phận, đơn vị chức năng duy trì các chính sách làm việc nhằm thúc đẩy đổi mới một cách hiệu quả.</t>
  </si>
  <si>
    <t>Toàn bộ doanh nghiệp duy trì các chính sách làm việc thúc đẩy hiệu quả sự đổi mới.</t>
  </si>
  <si>
    <t>Toàn bộ doanh nghiệp và các đối tác trong hệ sinh thái của mình cùng nhau duy trì các chính sách đang hoạt động nhằm thúc đẩy đổi mới một cách hiệu quả.</t>
  </si>
  <si>
    <t>5.3.7</t>
  </si>
  <si>
    <t>Nắm bắt tri thức</t>
  </si>
  <si>
    <t>Nắm bắt tri thức được thực hiện theo sự vụ.</t>
  </si>
  <si>
    <t>Một số bộ phận, đơn vị chức năng nắm bắt tri thức hiệu quả.</t>
  </si>
  <si>
    <t>Hầu hết các bộ phận, đơn vị chức năng nắm bắt tri thức một cách hiệu quả.</t>
  </si>
  <si>
    <t>Doanh nghiệp nắm bắt hiệu quả tri thức trong toàn doanh nghiệp.</t>
  </si>
  <si>
    <t>Doanh nghiệp và các đối tác trong hệ sinh thái của doanh nghiệp nắm bắt tri thức một cách hiệu quả trên toàn hệ sinh thái.</t>
  </si>
  <si>
    <t>5.3.8</t>
  </si>
  <si>
    <t>Chia sẻ tri thức</t>
  </si>
  <si>
    <t>Chia sẻ tri thức được thực hiện theo sự vụ.</t>
  </si>
  <si>
    <t>Một số bộ phận, đơn vị chức năng chia sẻ tri thức một cách hiệu quả.</t>
  </si>
  <si>
    <t>Hầu hết các bộ phận, đơn vị chức năng chia sẻ tri thức một cách hiệu quả.</t>
  </si>
  <si>
    <t>Doanh nghiệp chia sẻ tri thức một cách hiệu quả trong toàn doanh nghiệp.</t>
  </si>
  <si>
    <t>Doanh nghiệp và các đối tác trong hệ sinh thái của doanh nghiệp chia sẻ tri thức một cách hiệu quả trên toàn hệ sinh thái.</t>
  </si>
  <si>
    <t>Quản trị dữ liệu</t>
  </si>
  <si>
    <t>6.1.1</t>
  </si>
  <si>
    <t>Quản lý siêu dữ liệu</t>
  </si>
  <si>
    <t>Có ít siêu dữ liệu được thực hiện theo sự vụ hoặc chưa xác định.</t>
  </si>
  <si>
    <t>Siêu dữ liệu bắt đầu chuẩn hóa phân loại trong một số bộ phận, đơn vị chức năng.</t>
  </si>
  <si>
    <t>Siêu dữ liệu được định nghĩa sử dụng phân loại theo chức năng.</t>
  </si>
  <si>
    <t>Siêu dữ liệu liên tục được tối ưu hóa trong doanh nghiệp.</t>
  </si>
  <si>
    <t>Siêu dữ liệu liên tục được tối ưu hóa trong doanh nghiệp và các đối tác trong hệ sinh thái của doanh nghiệp.</t>
  </si>
  <si>
    <t>6.1.2</t>
  </si>
  <si>
    <t>Quản lý dữ liệu</t>
  </si>
  <si>
    <t>Mọi hệ thống CNTT có chủ sở hữu nghiệp vụ; chuẩn hóa chất lượng dữ liệu đầu vào; Khối Dữ liệu tập trung hóa cung cấp dữ liệu.</t>
  </si>
  <si>
    <t>26-27; 48-51</t>
  </si>
  <si>
    <t>Việc quản lý dữ liệu chỉ được thực hiện theo sự vụ.</t>
  </si>
  <si>
    <t>Bắt đầu có nhân sự quản lý dữ liệu và chịu trách nhiệm đối với một số tài sản dữ liệu của doanh nghiệp.</t>
  </si>
  <si>
    <t>Có nhân sự quản lý dữ liệu và chịu trách nhiệm đối với hầu hết các tài sản dữ liệu của doanh nghiệp.</t>
  </si>
  <si>
    <t>Có nhân sự quản lý dữ liệu và chịu trách nhiệm hoàn toàn đối với tất cả tài sản dữ liệu của doanh nghiệp.</t>
  </si>
  <si>
    <t>Có nhân sự quản lý dữ liệu và chịu trách nhiệm hoàn toàn đối với tất cả tài sản dữ liệu của doanh nghiệp và các đối tác trong hệ sinh thái của doanh nghiệp.</t>
  </si>
  <si>
    <t>6.1.3</t>
  </si>
  <si>
    <t>Quản lý dữ liệu chủ</t>
  </si>
  <si>
    <t>Quản lý dữ liệu chủ chỉ được thực hiện theo sự vụ.</t>
  </si>
  <si>
    <t>Quản lý dữ liệu chủ đang bắt đầu được áp dụng trong một số bộ phận, đơn vị chức năng.</t>
  </si>
  <si>
    <t>Quản lý dữ liệu chủ được xác định trong các khu vực chức năng.</t>
  </si>
  <si>
    <t>Quản lý dữ liệu chủ được tối ưu hóa nhất quán trong toàn doanh nghiệp.</t>
  </si>
  <si>
    <t>Quản lý dữ liệu chủ được tối ưu hóa nhất quán cho các đối tác trong hệ sinh thái của doanh nghiệp.</t>
  </si>
  <si>
    <t>6.1.4</t>
  </si>
  <si>
    <t>Quản lý bảo mật dữ liệu</t>
  </si>
  <si>
    <t>Chính sách, tiêu chuẩn, quy trình quản lý dữ liệu trong toàn bộ vòng đời; năm 2025 không có rò rỉ/thất thoát dữ liệu khách hàng; ISO 27001, PCI DSS.</t>
  </si>
  <si>
    <t>48-49; 164-165</t>
  </si>
  <si>
    <t>Quản lý bảo mật dữ liệu chỉ được thực hiện theo sự vụ.</t>
  </si>
  <si>
    <t>Quản lý bảo mật dữ liệu đang bắt đầu được xác định ở một số bộ phận, đơn vị chức năng.</t>
  </si>
  <si>
    <t>Quản lý bảo mật dữ liệu được tích hợp với yêu cầu quy định về bảo vệ dữ liệu và quyền riêng tư và được sử dụng trong một số khu vực chức năng.</t>
  </si>
  <si>
    <t>Quản lý bảo mật dữ liệu được tích hợp với yêu cầu quy định về bảo vệ dữ liệu và quyền riêng tư và được sử dụng trong toàn doanh nghiệp.</t>
  </si>
  <si>
    <t>Quản lý bảo mật dữ liệu được tích hợp với yêu cầu quy định về bảo vệ dữ liệu và quyền riêng tư, đồng thời được sử dụng giữa các đối tác trong hệ sinh thái của doanh nghiệp.</t>
  </si>
  <si>
    <t>6.1.5</t>
  </si>
  <si>
    <t>Quản lý chính sách dữ liệu</t>
  </si>
  <si>
    <t>Ban hành chính sách, tiêu chuẩn, quy trình hướng dẫn quản lý dữ liệu trong toàn bộ vòng đời; công bố chính sách bảo vệ dữ liệu cá nhân.</t>
  </si>
  <si>
    <t>Doanh nghiệp chưa có chính sách dữ liệu chính thức.</t>
  </si>
  <si>
    <t>Doanh nghiệp bắt đầu xây dựng chính sách dữ liệu.</t>
  </si>
  <si>
    <t>Chính sách dữ liệu theo bộ phận, đơn vị chức năng được áp dụng.</t>
  </si>
  <si>
    <t>Chính sách dữ liệu chung được sử dụng trong toàn doanh nghiệp.</t>
  </si>
  <si>
    <t>Chính sách dữ liệu chung được sử dụng trên các đối tác trong hệ sinh thái của doanh nghiệp.</t>
  </si>
  <si>
    <t>6.1.6</t>
  </si>
  <si>
    <t>Chiến lược dữ liệu</t>
  </si>
  <si>
    <t>Một trong 3 định hướng chiến lược: 'dẫn dắt chuyển đổi số và khai thác sức mạnh dữ liệu và AI'; Chính sách ESG: tăng cường quản trị dữ liệu.</t>
  </si>
  <si>
    <t>140-141; 158-159</t>
  </si>
  <si>
    <t>Doanh nghiệp chưa có chiến lược dữ liệu.</t>
  </si>
  <si>
    <t>Một số bộ phận, đơn vị chức năng có một chiến lược dữ liệu riêng.</t>
  </si>
  <si>
    <t>Mỗi bộ phận, đơn vị chức năng có một chiến lược dữ liệu xác định được sử dụng với kết quả kinh doanh có thể đo lường được.</t>
  </si>
  <si>
    <t>Doanh nghiệp có một chiến lược dữ liệu chung được xác định rõ ràng được doanh nghiệp sử dụng với kết quả kinh doanh có thể đo lường được.</t>
  </si>
  <si>
    <t>Doanh nghiệp có một chiến lược dữ liệu chung được xác định rõ ràng được sử dụng bởi doanh nghiệp và các đối tác trong hệ sinh thái của doanh nghiệp với kết quả kinh doanh có thể đo lường được.</t>
  </si>
  <si>
    <t>6.1.7</t>
  </si>
  <si>
    <t>Tổ chức và vai trò</t>
  </si>
  <si>
    <t>Khối Dữ liệu trong sơ đồ tổ chức, được tái thiết kế tập trung hóa chức năng; Ủy ban Công nghệ và chuyển đổi số.</t>
  </si>
  <si>
    <t>Chưa xác định được vai trò cụ thể trong doanh nghiệp để quản lý dữ liệu.</t>
  </si>
  <si>
    <t>Một số vai trò quản lý dữ liệu đã được xác định.</t>
  </si>
  <si>
    <t>Các vai trò quản lý dữ liệu đã được thực hiện.</t>
  </si>
  <si>
    <t>Vai trò quản lý dữ liệu toàn diện được thực hiện trên toàn doanh nghiệp.</t>
  </si>
  <si>
    <t>Các vai trò quản lý dữ liệu toàn diện được triển khai trên toàn doanh nghiệp và các đối tác trong hệ sinh thái của doanh nghiệp.</t>
  </si>
  <si>
    <t>6.1.8</t>
  </si>
  <si>
    <t>Quản lý quyền riêng tư dữ liệu</t>
  </si>
  <si>
    <t>Công bố Chính sách bảo vệ dữ liệu cá nhân trên website; không ghi nhận rò rỉ dữ liệu khách hàng 2025.</t>
  </si>
  <si>
    <t>Quản lý quyền riêng tư dữ liệu được thực hiện theo sự vụ.</t>
  </si>
  <si>
    <t>Quản lý quyền riêng tư dữ liệu đang bắt đầu được xác định ở một số bộ phận, đơn vị chức năng.</t>
  </si>
  <si>
    <t>Quản lý quyền riêng tư dữ liệu phù hợp với các yêu cầu quy định về bảo vệ dữ liệu và quyền riêng tư và được sử dụng hiệu quả trong một số lĩnh vực chức năng.</t>
  </si>
  <si>
    <t>Quản lý quyền riêng tư dữ liệu phù hợp với các yêu cầu quy định về bảo vệ dữ liệu và quyền riêng tư và được sử dụng hiệu quả trong toàn doanh nghiệp.</t>
  </si>
  <si>
    <t>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t>
  </si>
  <si>
    <t>Kỹ thuật dữ liệu</t>
  </si>
  <si>
    <t>6.2.1</t>
  </si>
  <si>
    <t>Mô hình hoá dữ liệu</t>
  </si>
  <si>
    <t>Thực hiện phân loại/cập nhật phân loại bảo mật dữ liệu.</t>
  </si>
  <si>
    <t>itviec.com, tin tuyển dụng Data Quality Management Specialist - Khối Dữ liệu MB (2026)</t>
  </si>
  <si>
    <t>Dữ liệu sử dụng bởi doanh nghiệp chưa được xác định và phân loại.</t>
  </si>
  <si>
    <t>Dữ liệu sử dụng bởi một số bộ phận, đơn vị chức năng được xác định và phân loại thành nhiều mô hình dữ liệu.</t>
  </si>
  <si>
    <t>Dữ liệu sử dụng trong hầu hết bộ phận, đơn vị chức năng được xác định và phân loại thành nhiều mô hình dữ liệu.</t>
  </si>
  <si>
    <t>Dữ liệu toàn doanh nghiệp sử dụng được xác định và phân loại thành một mô hình dữ liệu chung.</t>
  </si>
  <si>
    <t>Dữ liệu sử dụng bởi doanh nghiệp và các đối tác trong hệ sinh thái của doanh nghiệp được xác định và phân loại thành một mô hình dữ liệu chung.</t>
  </si>
  <si>
    <t>6.2.2</t>
  </si>
  <si>
    <t>Lưu trữ dữ liệu</t>
  </si>
  <si>
    <t>Lưu trữ, bảo tồn và xóa dữ liệu được thực hiện theo sự vụ.</t>
  </si>
  <si>
    <t>Một số thao tác xóa và lưu trữ dữ liệu được kiểm soát ở một số bộ phận, đơn vị chức năng.</t>
  </si>
  <si>
    <t>Việc xóa và lưu trữ dữ liệu được kiểm soát trong các bộ phận, đơn vị chức năng.</t>
  </si>
  <si>
    <t>Việc xóa và lưu trữ dữ liệu được kiểm soát tối ưu trong toàn doanh nghiệp.</t>
  </si>
  <si>
    <t>Lưu trữ, xóa và lưu trữ được kiểm soát tối ưu trong toàn doanh nghiệp và các đối tác trong hệ sinh thái của doanh nghiệp.</t>
  </si>
  <si>
    <t>6.2.3</t>
  </si>
  <si>
    <t>Khả năng truy cập dữ liệu</t>
  </si>
  <si>
    <t>Xây dựng ma trận phân quyền truy cập dữ liệu.</t>
  </si>
  <si>
    <t>Khả năng truy cập dữ liệu bị hạn chế.</t>
  </si>
  <si>
    <t>Dữ liệu có thể được truy cập bởi một số bộ phận, đơn vị chức năng.</t>
  </si>
  <si>
    <t>Dữ liệu cần thiết luôn có thể được truy cập bởi các bộ phận, đơn vị chức năng.</t>
  </si>
  <si>
    <t>Dữ liệu cần thiết luôn có thể được truy cập bởi người dùng được doanh nghiệp cấp quyền.</t>
  </si>
  <si>
    <t>Dữ liệu cần thiết luôn có thể được truy cập bởi người dùng được phê duyệt cho doanh nghiệp và đối tác của hệ sinh thái của doanh nghiệp.</t>
  </si>
  <si>
    <t>6.2.4</t>
  </si>
  <si>
    <t>Quản lý vòng đời dữ liệu</t>
  </si>
  <si>
    <t>Chính sách quản lý dữ liệu trong toàn bộ vòng đời dữ liệu.</t>
  </si>
  <si>
    <t>Quản lý vòng đời dữ liệu được thực hiện theo sự vụ.</t>
  </si>
  <si>
    <t>Quản lý vòng đời dữ liệu được áp dụng ở một số bộ phận, đơn vị chức năng.</t>
  </si>
  <si>
    <t>Quản lý vòng đời dữ liệu được áp dụng nhất quán trong các bộ phận, đơn vị chức năng.</t>
  </si>
  <si>
    <t>Quản lý vòng đời dữ liệu được áp dụng nhất quán trong toàn doanh nghiệp.</t>
  </si>
  <si>
    <t>Quản lý vòng đời dữ liệu được áp dụng nhất quán trong toàn doanh nghiệp và các đối tác trong hệ sinh thái của doanh nghiệp.</t>
  </si>
  <si>
    <t>6.2.5</t>
  </si>
  <si>
    <t>Thu thập dữ liệu</t>
  </si>
  <si>
    <t>Thu thập dữ liệu đa nguồn (giao dịch, phi truyền thống như mạng xã hội, viễn thông) phục vụ chấm điểm tín dụng; chuẩn hóa quy trình thu thập và làm sạch dữ liệu.</t>
  </si>
  <si>
    <t>50-51; 208-209</t>
  </si>
  <si>
    <t>Dữ liệu được thu thập được thực hiện theo sự vụ.</t>
  </si>
  <si>
    <t>Việc thu thập dữ liệu được thực hiện nhất quán ở một số bộ phận, đơn vị chức năng.</t>
  </si>
  <si>
    <t>Thu thập dữ liệu được tối ưu hóa trong các bộ phận, đơn vị chức năng.</t>
  </si>
  <si>
    <t>Thu thập dữ liệu được tối ưu hóa trên toàn doanh nghiệp.</t>
  </si>
  <si>
    <t>Việc thu thập dữ liệu được tối ưu hóa trên toàn doanh nghiệp và các đối tác trong hệ sinh thái.</t>
  </si>
  <si>
    <t>6.2.6</t>
  </si>
  <si>
    <t>Đảm bảo tính toàn vẹn dữ liệu</t>
  </si>
  <si>
    <t>Kiểm soát chất lượng dữ liệu, chuẩn hóa quy trình thu thập/làm sạch, giám sát biến động dữ liệu định kỳ; hệ thống quản lý phiên bản, lưu vết.</t>
  </si>
  <si>
    <t>50-51</t>
  </si>
  <si>
    <t>Đảm bảo tính toàn vẹn dữ liệu được thực hiện theo sự vụ.</t>
  </si>
  <si>
    <t>Tính toàn vẹn dữ liệu được đảm bảo ở một số bộ phận, đơn vị chức năng.</t>
  </si>
  <si>
    <t>Tính toàn vẹn dữ liệu được đảm bảo trên hầu hết các bộ phận, đơn vị chức năng.</t>
  </si>
  <si>
    <t>Tính toàn vẹn dữ liệu được đảm bảo trên toàn doanh nghiệp.</t>
  </si>
  <si>
    <t>Tính toàn vẹn của dữ liệu được đảm bảo trong toàn doanh nghiệp và các đối tác trong hệ sinh thái.</t>
  </si>
  <si>
    <t>6.2.7</t>
  </si>
  <si>
    <t>Trực quan hóa dữ liệu</t>
  </si>
  <si>
    <t>Phân tích dữ liệu và BI cung cấp báo cáo, công cụ trực quan hỗ trợ lãnh đạo ra quyết định.</t>
  </si>
  <si>
    <t>Dữ liệu được trình bày theo sự vụ.</t>
  </si>
  <si>
    <t>Dữ liệu được trình bày ở một số bộ phận, đơn vị chức năng.</t>
  </si>
  <si>
    <t>Dữ liệu được trình bày theo cách tối ưu trong các bộ phận, đơn vị chức năng.</t>
  </si>
  <si>
    <t>Dữ liệu được trình bày theo cách tối ưu trong toàn doanh nghiệp.</t>
  </si>
  <si>
    <t>Dữ liệu được trình bày theo cách tối ưu trong doanh nghiệp và các đối tác trong hệ sinh thái.</t>
  </si>
  <si>
    <t>Hiện thực hóa giá trị từ dữ liệu</t>
  </si>
  <si>
    <t>6.3.1</t>
  </si>
  <si>
    <t>Ra quyết định dựa trên dữ liệu</t>
  </si>
  <si>
    <t>Khối Dữ liệu tăng chất lượng ra quyết định kinh doanh dựa trên dữ liệu; ~200 mô hình bao phủ vòng đời khách hàng; BI hỗ trợ lãnh đạo ra quyết định chiến lược.</t>
  </si>
  <si>
    <t>26-27; 48-49; 208-209</t>
  </si>
  <si>
    <t>Các quyết định của doanh nghiệp hiếm khi dựa trên dữ liệu.</t>
  </si>
  <si>
    <t>Một số bộ phận, đơn vị chức năng của doanh nghiệp đưa ra quyết định dựa trên dữ liệu.</t>
  </si>
  <si>
    <t>Hầu hết các quyết định của doanh nghiệp được đưa ra dựa trên dữ liệu cấp bộ phận, đơn vị chức năng.</t>
  </si>
  <si>
    <t>Các quyết định của doanh nghiệp được đưa ra dựa trên dữ liệu từ khắp doanh nghiệp.</t>
  </si>
  <si>
    <t>Các quyết định của doanh nghiệp được đưa ra dựa trên dữ liệu từ khắp doanh nghiệp và các đối tác trong hệ sinh thái của doanh nghiệp.</t>
  </si>
  <si>
    <t>6.3.2</t>
  </si>
  <si>
    <t>Năng lực khoa học dữ liệu</t>
  </si>
  <si>
    <t>Khung quản trị rủi ro mô hình 3 tuyến phòng thủ; kiểm định độc lập; ~200 mô hình; ML có kiểm soát; hệ thống fraud/ML.</t>
  </si>
  <si>
    <t>46-51</t>
  </si>
  <si>
    <t>Khả năng khoa học dữ liệu chưa tồn tại.</t>
  </si>
  <si>
    <t>Khả năng khoa học dữ liệu tồn tại với một số bộ phận, đơn vị chức năng.</t>
  </si>
  <si>
    <t>Khả năng khoa học dữ liệu tồn tại trên các bộ phận, đơn vị chức năng.</t>
  </si>
  <si>
    <t>Khả năng Khoa học dữ liệu hiệu quả được tối ưu hóa trong toàn doanh nghiệp.</t>
  </si>
  <si>
    <t>Các năng lực Khoa học dữ liệu hiệu quả được tối ưu hóa trong toàn doanh nghiệp và các đối tác trong hệ sinh thái của doanh nghiệp.</t>
  </si>
  <si>
    <t>6.3.3</t>
  </si>
  <si>
    <t>Khai thác giá trị kinh tế từ dữ liệu</t>
  </si>
  <si>
    <t>Doanh thu kênh số 26.634 tỷ đồng (+35%, 50% doanh thu NH); tín dụng số CIB 91 nghìn tỷ; chấm điểm tín dụng bằng dữ liệu, phê duyệt tự động cao nhất.</t>
  </si>
  <si>
    <t>36-37; 60-61; 64-65</t>
  </si>
  <si>
    <t>Doanh nghiệp chưa tạo ra giá trị đo lường được từ dữ liệu.</t>
  </si>
  <si>
    <t>Doanh nghiệp tạo ra một số giá trị đo lường được từ dữ liệu.</t>
  </si>
  <si>
    <t>Doanh nghiệp tạo ra giá trị đáng kể có thể đo lường từ dữ liệu trong các bộ phận, đơn vị chức năng cụ thể.</t>
  </si>
  <si>
    <t>Doanh nghiệp tạo ra giá trị đáng kể có thể đo lường từ dữ liệu và được tối ưu hóa trong toàn doanh nghiệp.</t>
  </si>
  <si>
    <t>Doanh nghiệp tạo ra giá trị đáng kể có thể đo lường được từ dữ liệu và được tối ưu hóa trên toàn doanh nghiệp và các đối tác trong hệ sinh thái.</t>
  </si>
  <si>
    <t>Chỉ số trung thành NPS 67 điểm (+4,6 so 2024); Dự án Priority: số khách Priority gấp đôi, đóng góp 80% doanh thu KHCN; 3 sản phẩm/khách hàng; mục tiêu 'dẫn đầu về mức độ gắn kết khách hàng', tăng tỷ lệ sử dụng đa sản phẩm.</t>
  </si>
  <si>
    <t>Giá trị cốt lõi 'Tin cậy - cam kết và thực hiện đúng cam kết'; giá trị thương hiệu &gt;2 tỷ USD, Top 2 thương hiệu ngân hàng mạnh nhất VN (Brand Finance 15/01/2026).</t>
  </si>
  <si>
    <t>Cơ cấu tổ chức có Ban Sản phẩm và Marketing; thương hiệu được xếp hạng Brand Finance, giải thưởng quốc tế (Best Bank for ESG VN 2025...).</t>
  </si>
  <si>
    <t>14-15; 26-27</t>
  </si>
  <si>
    <t>8-9; 18-19; 36-37</t>
  </si>
  <si>
    <t>Theo dõi giá trị thương hiệu theo Brand Finance: &gt;2 tỷ USD (+27% so 2024, gấp 5 lần 5 năm trước); lọt Top 300 thương hiệu ngân hàng (Banking 500, 2022)</t>
  </si>
  <si>
    <t>Giá trị thương hiệu 1,6 tỷ USD (Brand Finance 2025), tăng 5 lần sau 5 năm; Top 3 ngân hàng và Top 10 thương hiệu giá trị nhất cả nước.</t>
  </si>
  <si>
    <t>Số hóa điều chuyển tiền mặt cắt 64% thời gian xử lý, tiết kiệm ~20 tỷ đồng/năm; CIR ~25,23% giảm 1,9 điểm nhờ AI/tự động hóa; doanh thu kênh số 26.634 tỷ đồng (+35%).</t>
  </si>
  <si>
    <t>36-37</t>
  </si>
  <si>
    <t>14-15; web</t>
  </si>
  <si>
    <t>MB, Báo cáo thường niên 2025 (công bố 30/03/2026); vnba.org.vn (MB phát hành báo cáo Tổng quan ngành NH)</t>
  </si>
  <si>
    <t>Trung bình 10 ngày đưa vào vận hành một dự án công nghệ; mô hình dữ liệu cải tiến chu kỳ ~2 tuần (MLOps); hoàn thành nhiều dự án 'nhà máy số'.</t>
  </si>
  <si>
    <t>MB Economic Insights lần thứ 11 với World Bank, Bộ Công Thương; MB phát hành báo cáo 'Tổng quan ngành ngân hàng 2024 và xu hướng 2025'.</t>
  </si>
  <si>
    <t>Nghiên cứu hành vi KH theo phân khúc; dự báo nhu cầu KH bằng dữ liệu; dự án Smart RM (quản lý bán hàng thông minh).</t>
  </si>
  <si>
    <t>26-29; 36-37</t>
  </si>
  <si>
    <t>Mua bảo hiểm cho tiền trong kho/vận chuyển, cháy nổ, ATM bị phá hoại. Chưa thấy mô tả biện pháp bảo mật vật lý hạ tầng CNTT.</t>
  </si>
  <si>
    <t>Mức thấp do chỉ có chuyển giao rủi ro</t>
  </si>
  <si>
    <t>Khối Công nghệ thông tin, Khối Ngân hàng số gắn với khối kinh doanh; ~10 ngày vận hành một dự án công nghệ mới; hoàn thành nhiều dự án 'nhà máy số'.</t>
  </si>
  <si>
    <t>26-27; 56-57</t>
  </si>
  <si>
    <t>Chỉ tiêu OKR năng suất lao động cải thiện 20% (2026); thi đua nội bộ lan tỏa tư duy số; ghi nhận kết quả xuất sắc.</t>
  </si>
  <si>
    <t>MB, Báo cáo thường niên 2025 (công bố 30/03/2026); nhandan.vn</t>
  </si>
  <si>
    <t xml:space="preserve">10-11;web </t>
  </si>
  <si>
    <t>Đào tạo, chuyển giao phương pháp luận quản lý rủi ro gian lận cho các công ty thành viên toàn tập đoàn; truyền thông văn hóa rủi ro, đào tạo nội bộ.</t>
  </si>
  <si>
    <t xml:space="preserve">
42-43; 46-47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</si>
</sst>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4"/>
      <color rgb="FF1F3864"/>
      <name val="Arial"/>
      <charset val="1"/>
    </font>
    <font>
      <b/>
      <sz val="11"/>
      <name val="Arial"/>
      <charset val="1"/>
    </font>
    <font>
      <sz val="11"/>
      <color rgb="FF0000FF"/>
      <name val="Arial"/>
      <charset val="1"/>
    </font>
    <font>
      <i/>
      <sz val="9"/>
      <color rgb="FF7F7F7F"/>
      <name val="Arial"/>
      <charset val="1"/>
    </font>
    <font>
      <b/>
      <sz val="12"/>
      <color rgb="FF1F3864"/>
      <name val="Arial"/>
      <charset val="1"/>
    </font>
    <font>
      <sz val="10"/>
      <name val="Arial"/>
      <charset val="1"/>
    </font>
    <font>
      <b/>
      <sz val="11"/>
      <color rgb="FFFFFFFF"/>
      <name val="Arial"/>
      <charset val="1"/>
    </font>
    <font>
      <sz val="10"/>
      <color rgb="FF7F7F7F"/>
      <name val="Arial"/>
      <charset val="1"/>
    </font>
    <font>
      <b/>
      <sz val="10"/>
      <name val="Arial"/>
      <charset val="1"/>
    </font>
    <font>
      <b/>
      <sz val="10"/>
      <color rgb="FFFFFFFF"/>
      <name val="Arial"/>
      <charset val="1"/>
    </font>
    <font>
      <sz val="9"/>
      <name val="Arial"/>
      <charset val="1"/>
    </font>
    <font>
      <sz val="10"/>
      <name val="Arial"/>
      <family val="2"/>
    </font>
  </fonts>
  <fills count="12">
    <fill>
      <patternFill patternType="none"/>
    </fill>
    <fill>
      <patternFill patternType="gray125"/>
    </fill>
    <fill>
      <patternFill patternType="solid">
        <fgColor rgb="FFFFF2CC"/>
        <bgColor rgb="FFFCE4D6"/>
      </patternFill>
    </fill>
    <fill>
      <patternFill patternType="solid">
        <fgColor rgb="FF1F3864"/>
        <bgColor rgb="FF333333"/>
      </patternFill>
    </fill>
    <fill>
      <patternFill patternType="solid">
        <fgColor rgb="FFF2F2F2"/>
        <bgColor rgb="FFEDEDED"/>
      </patternFill>
    </fill>
    <fill>
      <patternFill patternType="solid">
        <fgColor rgb="FFBF8F00"/>
        <bgColor rgb="FF808000"/>
      </patternFill>
    </fill>
    <fill>
      <patternFill patternType="solid">
        <fgColor rgb="FF595959"/>
        <bgColor rgb="FF7F7F7F"/>
      </patternFill>
    </fill>
    <fill>
      <patternFill patternType="solid">
        <fgColor rgb="FFDDEBF7"/>
        <bgColor rgb="FFEDEDED"/>
      </patternFill>
    </fill>
    <fill>
      <patternFill patternType="solid">
        <fgColor rgb="FFE2EFDA"/>
        <bgColor rgb="FFEDEDED"/>
      </patternFill>
    </fill>
    <fill>
      <patternFill patternType="solid">
        <fgColor rgb="FFFCE4D6"/>
        <bgColor rgb="FFFFF2CC"/>
      </patternFill>
    </fill>
    <fill>
      <patternFill patternType="solid">
        <fgColor rgb="FFEDEDED"/>
        <bgColor rgb="FFF2F2F2"/>
      </patternFill>
    </fill>
    <fill>
      <patternFill patternType="solid">
        <fgColor rgb="FFE4DFEC"/>
        <bgColor rgb="FF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6" fillId="0" borderId="0" xfId="0" applyFont="1"/>
    <xf numFmtId="0" fontId="6" fillId="0" borderId="0" xfId="0" applyFont="1" applyAlignment="1">
      <alignment vertical="top" wrapText="1"/>
    </xf>
    <xf numFmtId="0" fontId="1" fillId="0" borderId="0" xfId="0" applyFont="1"/>
    <xf numFmtId="0" fontId="2" fillId="0" borderId="0" xfId="0" applyFont="1"/>
    <xf numFmtId="0" fontId="3" fillId="2" borderId="1" xfId="0" applyFont="1" applyFill="1" applyBorder="1"/>
    <xf numFmtId="0" fontId="4" fillId="0" borderId="0" xfId="0" applyFont="1"/>
    <xf numFmtId="0" fontId="5" fillId="0" borderId="0" xfId="0" applyFont="1"/>
    <xf numFmtId="0" fontId="7" fillId="3" borderId="1" xfId="0" applyFont="1" applyFill="1" applyBorder="1"/>
    <xf numFmtId="0" fontId="8" fillId="0" borderId="1" xfId="0" applyFont="1" applyBorder="1" applyAlignment="1">
      <alignment vertical="top" wrapText="1"/>
    </xf>
    <xf numFmtId="0" fontId="7" fillId="3" borderId="1" xfId="0" applyFont="1" applyFill="1" applyBorder="1" applyAlignment="1">
      <alignment horizontal="center" wrapText="1"/>
    </xf>
    <xf numFmtId="0" fontId="6" fillId="0" borderId="1" xfId="0" applyFont="1" applyBorder="1"/>
    <xf numFmtId="0" fontId="6" fillId="0" borderId="1" xfId="0" applyFont="1" applyBorder="1" applyAlignment="1">
      <alignment horizontal="center"/>
    </xf>
    <xf numFmtId="0" fontId="9" fillId="4" borderId="1" xfId="0" applyFont="1" applyFill="1" applyBorder="1"/>
    <xf numFmtId="0" fontId="9" fillId="4" borderId="1" xfId="0" applyFont="1" applyFill="1" applyBorder="1" applyAlignment="1">
      <alignment horizontal="center"/>
    </xf>
    <xf numFmtId="0" fontId="2" fillId="0" borderId="1" xfId="0" applyFont="1" applyBorder="1" applyAlignment="1">
      <alignment horizontal="center"/>
    </xf>
    <xf numFmtId="0" fontId="10" fillId="3"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6" fillId="7" borderId="1" xfId="0" applyFont="1" applyFill="1" applyBorder="1" applyAlignment="1">
      <alignment vertical="top" wrapText="1"/>
    </xf>
    <xf numFmtId="0" fontId="9" fillId="7" borderId="1" xfId="0" applyFont="1" applyFill="1" applyBorder="1" applyAlignment="1">
      <alignment horizontal="center" vertical="top" wrapText="1"/>
    </xf>
    <xf numFmtId="0" fontId="6" fillId="2" borderId="1" xfId="0" applyFont="1" applyFill="1" applyBorder="1" applyAlignment="1">
      <alignment horizontal="center" vertical="top" wrapText="1"/>
    </xf>
    <xf numFmtId="0" fontId="6" fillId="2" borderId="1" xfId="0" applyFont="1" applyFill="1" applyBorder="1" applyAlignment="1">
      <alignment vertical="top" wrapText="1"/>
    </xf>
    <xf numFmtId="0" fontId="11" fillId="4" borderId="1" xfId="0" applyFont="1" applyFill="1" applyBorder="1" applyAlignment="1">
      <alignment vertical="top" wrapText="1"/>
    </xf>
    <xf numFmtId="0" fontId="6" fillId="8" borderId="1" xfId="0" applyFont="1" applyFill="1" applyBorder="1" applyAlignment="1">
      <alignment vertical="top" wrapText="1"/>
    </xf>
    <xf numFmtId="0" fontId="9" fillId="8" borderId="1" xfId="0" applyFont="1" applyFill="1" applyBorder="1" applyAlignment="1">
      <alignment horizontal="center" vertical="top" wrapText="1"/>
    </xf>
    <xf numFmtId="0" fontId="6" fillId="9" borderId="1" xfId="0" applyFont="1" applyFill="1" applyBorder="1" applyAlignment="1">
      <alignment vertical="top" wrapText="1"/>
    </xf>
    <xf numFmtId="0" fontId="9" fillId="9" borderId="1" xfId="0" applyFont="1" applyFill="1" applyBorder="1" applyAlignment="1">
      <alignment horizontal="center" vertical="top" wrapText="1"/>
    </xf>
    <xf numFmtId="0" fontId="6" fillId="10" borderId="1" xfId="0" applyFont="1" applyFill="1" applyBorder="1" applyAlignment="1">
      <alignment vertical="top" wrapText="1"/>
    </xf>
    <xf numFmtId="0" fontId="9" fillId="10" borderId="1" xfId="0" applyFont="1" applyFill="1" applyBorder="1" applyAlignment="1">
      <alignment horizontal="center" vertical="top" wrapText="1"/>
    </xf>
    <xf numFmtId="0" fontId="9" fillId="2" borderId="1" xfId="0" applyFont="1" applyFill="1" applyBorder="1" applyAlignment="1">
      <alignment horizontal="center" vertical="top" wrapText="1"/>
    </xf>
    <xf numFmtId="0" fontId="6" fillId="11" borderId="1" xfId="0" applyFont="1" applyFill="1" applyBorder="1" applyAlignment="1">
      <alignment vertical="top" wrapText="1"/>
    </xf>
    <xf numFmtId="0" fontId="9" fillId="11" borderId="1" xfId="0" applyFont="1" applyFill="1" applyBorder="1" applyAlignment="1">
      <alignment horizontal="center" vertical="top" wrapText="1"/>
    </xf>
    <xf numFmtId="0" fontId="12" fillId="2" borderId="1" xfId="0" applyFont="1" applyFill="1" applyBorder="1" applyAlignment="1">
      <alignment horizontal="center" vertical="top" wrapText="1"/>
    </xf>
    <xf numFmtId="0" fontId="12" fillId="2" borderId="1" xfId="0" applyFont="1" applyFill="1" applyBorder="1" applyAlignment="1">
      <alignment vertical="top" wrapText="1"/>
    </xf>
  </cellXfs>
  <cellStyles count="1">
    <cellStyle name="Normal" xfId="0" builtinId="0"/>
  </cellStyles>
  <dxfs count="3">
    <dxf>
      <fill>
        <patternFill>
          <bgColor rgb="FFD9D9D9"/>
        </patternFill>
      </fill>
    </dxf>
    <dxf>
      <fill>
        <patternFill>
          <bgColor rgb="FFF8CBAD"/>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CE4D6"/>
      <rgbColor rgb="FFE4DFEC"/>
      <rgbColor rgb="FFEDEDED"/>
      <rgbColor rgb="FFCC99FF"/>
      <rgbColor rgb="FFF8CBAD"/>
      <rgbColor rgb="FF3366FF"/>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showGridLines="0" zoomScaleNormal="100" workbookViewId="0"/>
  </sheetViews>
  <sheetFormatPr defaultColWidth="8.6640625" defaultRowHeight="14.4" x14ac:dyDescent="0.3"/>
  <cols>
    <col min="1" max="1" width="30" customWidth="1"/>
    <col min="2" max="5" width="22" customWidth="1"/>
  </cols>
  <sheetData>
    <row r="1" spans="1:6" ht="17.25" customHeight="1" x14ac:dyDescent="0.3">
      <c r="A1" s="3" t="s">
        <v>0</v>
      </c>
    </row>
    <row r="3" spans="1:6" ht="15" customHeight="1" x14ac:dyDescent="0.3">
      <c r="A3" s="4" t="s">
        <v>1</v>
      </c>
      <c r="B3" s="5" t="s">
        <v>2</v>
      </c>
      <c r="C3" s="6" t="s">
        <v>3</v>
      </c>
    </row>
    <row r="4" spans="1:6" ht="15" customHeight="1" x14ac:dyDescent="0.3">
      <c r="A4" s="4" t="s">
        <v>4</v>
      </c>
      <c r="B4" s="5" t="s">
        <v>5</v>
      </c>
    </row>
    <row r="5" spans="1:6" ht="15" customHeight="1" x14ac:dyDescent="0.3">
      <c r="A5" s="4" t="s">
        <v>6</v>
      </c>
      <c r="B5" s="5">
        <v>2025</v>
      </c>
    </row>
    <row r="6" spans="1:6" ht="15" customHeight="1" x14ac:dyDescent="0.3">
      <c r="A6" s="4" t="s">
        <v>7</v>
      </c>
      <c r="B6" s="5" t="s">
        <v>8</v>
      </c>
    </row>
    <row r="8" spans="1:6" ht="15" customHeight="1" x14ac:dyDescent="0.3">
      <c r="A8" s="7" t="s">
        <v>9</v>
      </c>
    </row>
    <row r="9" spans="1:6" ht="30" customHeight="1" x14ac:dyDescent="0.3">
      <c r="A9" s="2" t="s">
        <v>10</v>
      </c>
      <c r="B9" s="2"/>
      <c r="C9" s="2"/>
      <c r="D9" s="2"/>
      <c r="E9" s="2"/>
      <c r="F9" s="2"/>
    </row>
    <row r="10" spans="1:6" ht="30" customHeight="1" x14ac:dyDescent="0.3">
      <c r="A10" s="2" t="s">
        <v>11</v>
      </c>
      <c r="B10" s="2"/>
      <c r="C10" s="2"/>
      <c r="D10" s="2"/>
      <c r="E10" s="2"/>
      <c r="F10" s="2"/>
    </row>
    <row r="11" spans="1:6" ht="30" customHeight="1" x14ac:dyDescent="0.3">
      <c r="A11" s="2" t="s">
        <v>12</v>
      </c>
      <c r="B11" s="2"/>
      <c r="C11" s="2"/>
      <c r="D11" s="2"/>
      <c r="E11" s="2"/>
      <c r="F11" s="2"/>
    </row>
    <row r="12" spans="1:6" ht="30" customHeight="1" x14ac:dyDescent="0.3">
      <c r="A12" s="2" t="s">
        <v>13</v>
      </c>
      <c r="B12" s="2"/>
      <c r="C12" s="2"/>
      <c r="D12" s="2"/>
      <c r="E12" s="2"/>
      <c r="F12" s="2"/>
    </row>
    <row r="13" spans="1:6" ht="30" customHeight="1" x14ac:dyDescent="0.3">
      <c r="A13" s="2" t="s">
        <v>14</v>
      </c>
      <c r="B13" s="2"/>
      <c r="C13" s="2"/>
      <c r="D13" s="2"/>
      <c r="E13" s="2"/>
      <c r="F13" s="2"/>
    </row>
    <row r="14" spans="1:6" ht="30" customHeight="1" x14ac:dyDescent="0.3">
      <c r="A14" s="2" t="s">
        <v>15</v>
      </c>
      <c r="B14" s="2"/>
      <c r="C14" s="2"/>
      <c r="D14" s="2"/>
      <c r="E14" s="2"/>
      <c r="F14" s="2"/>
    </row>
    <row r="15" spans="1:6" ht="30" customHeight="1" x14ac:dyDescent="0.3">
      <c r="A15" s="2" t="s">
        <v>16</v>
      </c>
      <c r="B15" s="2"/>
      <c r="C15" s="2"/>
      <c r="D15" s="2"/>
      <c r="E15" s="2"/>
      <c r="F15" s="2"/>
    </row>
    <row r="16" spans="1:6" ht="30" customHeight="1" x14ac:dyDescent="0.3">
      <c r="A16" s="2" t="s">
        <v>17</v>
      </c>
      <c r="B16" s="2"/>
      <c r="C16" s="2"/>
      <c r="D16" s="2"/>
      <c r="E16" s="2"/>
      <c r="F16" s="2"/>
    </row>
    <row r="17" spans="1:6" ht="30" customHeight="1" x14ac:dyDescent="0.3">
      <c r="A17" s="2" t="s">
        <v>18</v>
      </c>
      <c r="B17" s="2"/>
      <c r="C17" s="2"/>
      <c r="D17" s="2"/>
      <c r="E17" s="2"/>
      <c r="F17" s="2"/>
    </row>
    <row r="19" spans="1:6" ht="15" customHeight="1" x14ac:dyDescent="0.3">
      <c r="A19" s="7" t="s">
        <v>19</v>
      </c>
    </row>
    <row r="20" spans="1:6" ht="15" customHeight="1" x14ac:dyDescent="0.3">
      <c r="A20" s="8" t="s">
        <v>20</v>
      </c>
      <c r="B20" s="8" t="s">
        <v>21</v>
      </c>
      <c r="C20" s="8" t="s">
        <v>22</v>
      </c>
      <c r="D20" s="8" t="s">
        <v>23</v>
      </c>
      <c r="E20" s="8" t="s">
        <v>24</v>
      </c>
      <c r="F20" s="8" t="s">
        <v>25</v>
      </c>
    </row>
    <row r="21" spans="1:6" ht="54.75" customHeight="1" x14ac:dyDescent="0.3">
      <c r="A21" s="9" t="s">
        <v>26</v>
      </c>
      <c r="B21" s="9">
        <v>3</v>
      </c>
      <c r="C21" s="9" t="s">
        <v>27</v>
      </c>
      <c r="D21" s="9" t="s">
        <v>28</v>
      </c>
      <c r="E21" s="9">
        <v>45</v>
      </c>
      <c r="F21" s="9">
        <v>2025</v>
      </c>
    </row>
    <row r="22" spans="1:6" ht="23.25" customHeight="1" x14ac:dyDescent="0.3">
      <c r="A22" s="9" t="s">
        <v>29</v>
      </c>
      <c r="B22" s="9" t="s">
        <v>30</v>
      </c>
      <c r="C22" s="9" t="s">
        <v>31</v>
      </c>
      <c r="D22" s="9"/>
      <c r="E22" s="9"/>
      <c r="F22" s="9"/>
    </row>
    <row r="25" spans="1:6" ht="15" customHeight="1" x14ac:dyDescent="0.3">
      <c r="A25" s="7" t="s">
        <v>32</v>
      </c>
    </row>
    <row r="26" spans="1:6" ht="15" customHeight="1" x14ac:dyDescent="0.3">
      <c r="A26" s="10" t="s">
        <v>33</v>
      </c>
      <c r="B26" s="10" t="s">
        <v>34</v>
      </c>
      <c r="C26" s="10" t="s">
        <v>35</v>
      </c>
      <c r="D26" s="10" t="s">
        <v>30</v>
      </c>
      <c r="E26" s="10" t="s">
        <v>36</v>
      </c>
    </row>
    <row r="27" spans="1:6" ht="15" customHeight="1" x14ac:dyDescent="0.3">
      <c r="A27" s="11" t="s">
        <v>37</v>
      </c>
      <c r="B27" s="12">
        <f>COUNTIF('Chấm điểm'!$A$2:$A$141,A27)</f>
        <v>25</v>
      </c>
      <c r="C27" s="12">
        <f>COUNTIFS('Chấm điểm'!$A$2:$A$141,A27,'Chấm điểm'!$E$2:$E$141,"&gt;=1",'Chấm điểm'!$E$2:$E$141,"&lt;=5")</f>
        <v>24</v>
      </c>
      <c r="D27" s="12">
        <f>COUNTIFS('Chấm điểm'!$A$2:$A$141,A27,'Chấm điểm'!$E$2:$E$141,"N/A")</f>
        <v>1</v>
      </c>
      <c r="E27" s="12">
        <f t="shared" ref="E27:E32" si="0">B27-C27-D27</f>
        <v>0</v>
      </c>
    </row>
    <row r="28" spans="1:6" ht="15" customHeight="1" x14ac:dyDescent="0.3">
      <c r="A28" s="11" t="s">
        <v>38</v>
      </c>
      <c r="B28" s="12">
        <f>COUNTIF('Chấm điểm'!$A$2:$A$141,A28)</f>
        <v>24</v>
      </c>
      <c r="C28" s="12">
        <f>COUNTIFS('Chấm điểm'!$A$2:$A$141,A28,'Chấm điểm'!$E$2:$E$141,"&gt;=1",'Chấm điểm'!$E$2:$E$141,"&lt;=5")</f>
        <v>23</v>
      </c>
      <c r="D28" s="12">
        <f>COUNTIFS('Chấm điểm'!$A$2:$A$141,A28,'Chấm điểm'!$E$2:$E$141,"N/A")</f>
        <v>1</v>
      </c>
      <c r="E28" s="12">
        <f t="shared" si="0"/>
        <v>0</v>
      </c>
    </row>
    <row r="29" spans="1:6" ht="15" customHeight="1" x14ac:dyDescent="0.3">
      <c r="A29" s="11" t="s">
        <v>39</v>
      </c>
      <c r="B29" s="12">
        <f>COUNTIF('Chấm điểm'!$A$2:$A$141,A29)</f>
        <v>29</v>
      </c>
      <c r="C29" s="12">
        <f>COUNTIFS('Chấm điểm'!$A$2:$A$141,A29,'Chấm điểm'!$E$2:$E$141,"&gt;=1",'Chấm điểm'!$E$2:$E$141,"&lt;=5")</f>
        <v>22</v>
      </c>
      <c r="D29" s="12">
        <f>COUNTIFS('Chấm điểm'!$A$2:$A$141,A29,'Chấm điểm'!$E$2:$E$141,"N/A")</f>
        <v>7</v>
      </c>
      <c r="E29" s="12">
        <f t="shared" si="0"/>
        <v>0</v>
      </c>
    </row>
    <row r="30" spans="1:6" ht="15" customHeight="1" x14ac:dyDescent="0.3">
      <c r="A30" s="11" t="s">
        <v>40</v>
      </c>
      <c r="B30" s="12">
        <f>COUNTIF('Chấm điểm'!$A$2:$A$141,A30)</f>
        <v>22</v>
      </c>
      <c r="C30" s="12">
        <f>COUNTIFS('Chấm điểm'!$A$2:$A$141,A30,'Chấm điểm'!$E$2:$E$141,"&gt;=1",'Chấm điểm'!$E$2:$E$141,"&lt;=5")</f>
        <v>19</v>
      </c>
      <c r="D30" s="12">
        <f>COUNTIFS('Chấm điểm'!$A$2:$A$141,A30,'Chấm điểm'!$E$2:$E$141,"N/A")</f>
        <v>3</v>
      </c>
      <c r="E30" s="12">
        <f t="shared" si="0"/>
        <v>0</v>
      </c>
    </row>
    <row r="31" spans="1:6" ht="15" customHeight="1" x14ac:dyDescent="0.3">
      <c r="A31" s="11" t="s">
        <v>41</v>
      </c>
      <c r="B31" s="12">
        <f>COUNTIF('Chấm điểm'!$A$2:$A$141,A31)</f>
        <v>22</v>
      </c>
      <c r="C31" s="12">
        <f>COUNTIFS('Chấm điểm'!$A$2:$A$141,A31,'Chấm điểm'!$E$2:$E$141,"&gt;=1",'Chấm điểm'!$E$2:$E$141,"&lt;=5")</f>
        <v>20</v>
      </c>
      <c r="D31" s="12">
        <f>COUNTIFS('Chấm điểm'!$A$2:$A$141,A31,'Chấm điểm'!$E$2:$E$141,"N/A")</f>
        <v>2</v>
      </c>
      <c r="E31" s="12">
        <f t="shared" si="0"/>
        <v>0</v>
      </c>
    </row>
    <row r="32" spans="1:6" ht="15" customHeight="1" x14ac:dyDescent="0.3">
      <c r="A32" s="11" t="s">
        <v>42</v>
      </c>
      <c r="B32" s="12">
        <f>COUNTIF('Chấm điểm'!$A$2:$A$141,A32)</f>
        <v>18</v>
      </c>
      <c r="C32" s="12">
        <f>COUNTIFS('Chấm điểm'!$A$2:$A$141,A32,'Chấm điểm'!$E$2:$E$141,"&gt;=1",'Chấm điểm'!$E$2:$E$141,"&lt;=5")</f>
        <v>15</v>
      </c>
      <c r="D32" s="12">
        <f>COUNTIFS('Chấm điểm'!$A$2:$A$141,A32,'Chấm điểm'!$E$2:$E$141,"N/A")</f>
        <v>3</v>
      </c>
      <c r="E32" s="12">
        <f t="shared" si="0"/>
        <v>0</v>
      </c>
    </row>
    <row r="33" spans="1:5" ht="15" customHeight="1" x14ac:dyDescent="0.3">
      <c r="A33" s="13" t="s">
        <v>43</v>
      </c>
      <c r="B33" s="14">
        <f>SUM(B27:B32)</f>
        <v>140</v>
      </c>
      <c r="C33" s="14">
        <f>SUM(C27:C32)</f>
        <v>123</v>
      </c>
      <c r="D33" s="14">
        <f>SUM(D27:D32)</f>
        <v>17</v>
      </c>
      <c r="E33" s="14">
        <f>SUM(E27:E32)</f>
        <v>0</v>
      </c>
    </row>
    <row r="35" spans="1:5" ht="15" customHeight="1" x14ac:dyDescent="0.3">
      <c r="A35" s="1" t="s">
        <v>44</v>
      </c>
      <c r="B35" s="1"/>
      <c r="C35" s="1"/>
      <c r="D35" s="15">
        <f>COUNTA('Chấm điểm'!$E$2:$E$141)-COUNT('Chấm điểm'!$E$2:$E$141)-COUNTIF('Chấm điểm'!$E$2:$E$141,"N/A")+COUNT('Chấm điểm'!$E$2:$E$141)-COUNTIFS('Chấm điểm'!$E$2:$E$141,"&gt;=1",'Chấm điểm'!$E$2:$E$141,"&lt;=5")</f>
        <v>0</v>
      </c>
    </row>
    <row r="36" spans="1:5" ht="15" customHeight="1" x14ac:dyDescent="0.3">
      <c r="A36" s="1" t="s">
        <v>45</v>
      </c>
      <c r="B36" s="1"/>
      <c r="C36" s="1"/>
      <c r="D36" s="15">
        <f>SUMPRODUCT(ISNUMBER('Chấm điểm'!$E$2:$E$141)*('Chấm điểm'!$F$2:$F$141=""))</f>
        <v>0</v>
      </c>
    </row>
    <row r="37" spans="1:5" ht="15" customHeight="1" x14ac:dyDescent="0.3">
      <c r="A37" s="1" t="s">
        <v>46</v>
      </c>
      <c r="B37" s="1"/>
      <c r="C37" s="1"/>
      <c r="D37" s="15">
        <f>SUMPRODUCT(ISNUMBER('Chấm điểm'!$E$2:$E$141)*('Chấm điểm'!$G$2:$G$141=""))</f>
        <v>0</v>
      </c>
    </row>
    <row r="38" spans="1:5" ht="15" customHeight="1" x14ac:dyDescent="0.3">
      <c r="A38" s="6" t="s">
        <v>47</v>
      </c>
    </row>
  </sheetData>
  <mergeCells count="12">
    <mergeCell ref="A36:C36"/>
    <mergeCell ref="A37:C37"/>
    <mergeCell ref="A14:F14"/>
    <mergeCell ref="A15:F15"/>
    <mergeCell ref="A16:F16"/>
    <mergeCell ref="A17:F17"/>
    <mergeCell ref="A35:C35"/>
    <mergeCell ref="A9:F9"/>
    <mergeCell ref="A10:F10"/>
    <mergeCell ref="A11:F11"/>
    <mergeCell ref="A12:F12"/>
    <mergeCell ref="A13:F13"/>
  </mergeCells>
  <conditionalFormatting sqref="D35:D37">
    <cfRule type="cellIs" dxfId="2" priority="2" operator="greaterThan">
      <formula>0</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8F00"/>
  </sheetPr>
  <dimension ref="A1:O141"/>
  <sheetViews>
    <sheetView tabSelected="1" zoomScaleNormal="100" workbookViewId="0">
      <pane xSplit="4" ySplit="1" topLeftCell="E139" activePane="bottomRight" state="frozen"/>
      <selection pane="topRight" activeCell="E1" sqref="E1"/>
      <selection pane="bottomLeft" activeCell="A2" sqref="A2"/>
      <selection pane="bottomRight" activeCell="J123" sqref="J123"/>
    </sheetView>
  </sheetViews>
  <sheetFormatPr defaultColWidth="8.6640625" defaultRowHeight="14.4" x14ac:dyDescent="0.3"/>
  <cols>
    <col min="1" max="1" width="22" customWidth="1"/>
    <col min="2" max="2" width="28" customWidth="1"/>
    <col min="3" max="3" width="8" customWidth="1"/>
    <col min="4" max="4" width="30" customWidth="1"/>
    <col min="5" max="5" width="9" customWidth="1"/>
    <col min="6" max="6" width="55" customWidth="1"/>
    <col min="7" max="7" width="38" customWidth="1"/>
    <col min="8" max="8" width="9" customWidth="1"/>
    <col min="9" max="9" width="8" customWidth="1"/>
    <col min="10" max="10" width="25" customWidth="1"/>
    <col min="11" max="15" width="38" customWidth="1"/>
  </cols>
  <sheetData>
    <row r="1" spans="1:15" ht="27.75" customHeight="1" x14ac:dyDescent="0.3">
      <c r="A1" s="16" t="s">
        <v>33</v>
      </c>
      <c r="B1" s="16" t="s">
        <v>48</v>
      </c>
      <c r="C1" s="16" t="s">
        <v>20</v>
      </c>
      <c r="D1" s="16" t="s">
        <v>49</v>
      </c>
      <c r="E1" s="17" t="s">
        <v>21</v>
      </c>
      <c r="F1" s="17" t="s">
        <v>22</v>
      </c>
      <c r="G1" s="17" t="s">
        <v>23</v>
      </c>
      <c r="H1" s="17" t="s">
        <v>24</v>
      </c>
      <c r="I1" s="17" t="s">
        <v>25</v>
      </c>
      <c r="J1" s="17" t="s">
        <v>50</v>
      </c>
      <c r="K1" s="18" t="s">
        <v>51</v>
      </c>
      <c r="L1" s="18" t="s">
        <v>52</v>
      </c>
      <c r="M1" s="18" t="s">
        <v>53</v>
      </c>
      <c r="N1" s="18" t="s">
        <v>54</v>
      </c>
      <c r="O1" s="18" t="s">
        <v>55</v>
      </c>
    </row>
    <row r="2" spans="1:15" ht="75" customHeight="1" x14ac:dyDescent="0.3">
      <c r="A2" s="19" t="s">
        <v>37</v>
      </c>
      <c r="B2" s="19" t="s">
        <v>56</v>
      </c>
      <c r="C2" s="20" t="s">
        <v>26</v>
      </c>
      <c r="D2" s="19" t="s">
        <v>57</v>
      </c>
      <c r="E2" s="21">
        <v>3</v>
      </c>
      <c r="F2" s="22" t="s">
        <v>58</v>
      </c>
      <c r="G2" s="22" t="s">
        <v>59</v>
      </c>
      <c r="H2" s="21" t="s">
        <v>60</v>
      </c>
      <c r="I2" s="21">
        <v>2025</v>
      </c>
      <c r="J2" s="22" t="s">
        <v>61</v>
      </c>
      <c r="K2" s="23" t="s">
        <v>62</v>
      </c>
      <c r="L2" s="23" t="s">
        <v>63</v>
      </c>
      <c r="M2" s="23" t="s">
        <v>64</v>
      </c>
      <c r="N2" s="23" t="s">
        <v>65</v>
      </c>
      <c r="O2" s="23" t="s">
        <v>66</v>
      </c>
    </row>
    <row r="3" spans="1:15" ht="75" customHeight="1" x14ac:dyDescent="0.3">
      <c r="A3" s="19" t="s">
        <v>37</v>
      </c>
      <c r="B3" s="19" t="s">
        <v>56</v>
      </c>
      <c r="C3" s="20" t="s">
        <v>29</v>
      </c>
      <c r="D3" s="19" t="s">
        <v>67</v>
      </c>
      <c r="E3" s="21">
        <v>3</v>
      </c>
      <c r="F3" s="22" t="s">
        <v>68</v>
      </c>
      <c r="G3" s="22" t="s">
        <v>59</v>
      </c>
      <c r="H3" s="21" t="s">
        <v>69</v>
      </c>
      <c r="I3" s="21">
        <v>2025</v>
      </c>
      <c r="J3" s="22" t="s">
        <v>70</v>
      </c>
      <c r="K3" s="23" t="s">
        <v>71</v>
      </c>
      <c r="L3" s="23" t="s">
        <v>72</v>
      </c>
      <c r="M3" s="23" t="s">
        <v>73</v>
      </c>
      <c r="N3" s="23" t="s">
        <v>74</v>
      </c>
      <c r="O3" s="23" t="s">
        <v>75</v>
      </c>
    </row>
    <row r="4" spans="1:15" ht="75" customHeight="1" x14ac:dyDescent="0.3">
      <c r="A4" s="19" t="s">
        <v>37</v>
      </c>
      <c r="B4" s="19" t="s">
        <v>56</v>
      </c>
      <c r="C4" s="20" t="s">
        <v>76</v>
      </c>
      <c r="D4" s="19" t="s">
        <v>77</v>
      </c>
      <c r="E4" s="21">
        <v>3</v>
      </c>
      <c r="F4" s="22" t="s">
        <v>78</v>
      </c>
      <c r="G4" s="22" t="s">
        <v>79</v>
      </c>
      <c r="H4" s="21" t="s">
        <v>80</v>
      </c>
      <c r="I4" s="21">
        <v>2025</v>
      </c>
      <c r="J4" s="22" t="s">
        <v>81</v>
      </c>
      <c r="K4" s="23" t="s">
        <v>82</v>
      </c>
      <c r="L4" s="23" t="s">
        <v>83</v>
      </c>
      <c r="M4" s="23" t="s">
        <v>84</v>
      </c>
      <c r="N4" s="23" t="s">
        <v>85</v>
      </c>
      <c r="O4" s="23" t="s">
        <v>86</v>
      </c>
    </row>
    <row r="5" spans="1:15" ht="75" customHeight="1" x14ac:dyDescent="0.3">
      <c r="A5" s="19" t="s">
        <v>37</v>
      </c>
      <c r="B5" s="19" t="s">
        <v>56</v>
      </c>
      <c r="C5" s="20" t="s">
        <v>87</v>
      </c>
      <c r="D5" s="19" t="s">
        <v>88</v>
      </c>
      <c r="E5" s="21">
        <v>4</v>
      </c>
      <c r="F5" s="22" t="s">
        <v>89</v>
      </c>
      <c r="G5" s="22" t="s">
        <v>59</v>
      </c>
      <c r="H5" s="21" t="s">
        <v>90</v>
      </c>
      <c r="I5" s="21">
        <v>2025</v>
      </c>
      <c r="J5" s="22" t="s">
        <v>91</v>
      </c>
      <c r="K5" s="23" t="s">
        <v>92</v>
      </c>
      <c r="L5" s="23" t="s">
        <v>93</v>
      </c>
      <c r="M5" s="23" t="s">
        <v>94</v>
      </c>
      <c r="N5" s="23" t="s">
        <v>95</v>
      </c>
      <c r="O5" s="23" t="s">
        <v>96</v>
      </c>
    </row>
    <row r="6" spans="1:15" ht="75" customHeight="1" x14ac:dyDescent="0.3">
      <c r="A6" s="19" t="s">
        <v>37</v>
      </c>
      <c r="B6" s="19" t="s">
        <v>56</v>
      </c>
      <c r="C6" s="20" t="s">
        <v>97</v>
      </c>
      <c r="D6" s="19" t="s">
        <v>98</v>
      </c>
      <c r="E6" s="21">
        <v>3</v>
      </c>
      <c r="F6" s="22" t="s">
        <v>99</v>
      </c>
      <c r="G6" s="22" t="s">
        <v>59</v>
      </c>
      <c r="H6" s="21" t="s">
        <v>100</v>
      </c>
      <c r="I6" s="21">
        <v>2025</v>
      </c>
      <c r="J6" s="22" t="s">
        <v>101</v>
      </c>
      <c r="K6" s="23" t="s">
        <v>102</v>
      </c>
      <c r="L6" s="23" t="s">
        <v>103</v>
      </c>
      <c r="M6" s="23" t="s">
        <v>104</v>
      </c>
      <c r="N6" s="23" t="s">
        <v>105</v>
      </c>
      <c r="O6" s="23" t="s">
        <v>106</v>
      </c>
    </row>
    <row r="7" spans="1:15" ht="75" customHeight="1" x14ac:dyDescent="0.3">
      <c r="A7" s="19" t="s">
        <v>37</v>
      </c>
      <c r="B7" s="19" t="s">
        <v>56</v>
      </c>
      <c r="C7" s="20" t="s">
        <v>107</v>
      </c>
      <c r="D7" s="19" t="s">
        <v>108</v>
      </c>
      <c r="E7" s="21">
        <v>4</v>
      </c>
      <c r="F7" s="22" t="s">
        <v>109</v>
      </c>
      <c r="G7" s="22" t="s">
        <v>59</v>
      </c>
      <c r="H7" s="21" t="s">
        <v>110</v>
      </c>
      <c r="I7" s="21">
        <v>2025</v>
      </c>
      <c r="J7" s="22" t="s">
        <v>111</v>
      </c>
      <c r="K7" s="23" t="s">
        <v>112</v>
      </c>
      <c r="L7" s="23" t="s">
        <v>113</v>
      </c>
      <c r="M7" s="23" t="s">
        <v>114</v>
      </c>
      <c r="N7" s="23" t="s">
        <v>115</v>
      </c>
      <c r="O7" s="23" t="s">
        <v>116</v>
      </c>
    </row>
    <row r="8" spans="1:15" ht="75" customHeight="1" x14ac:dyDescent="0.3">
      <c r="A8" s="19" t="s">
        <v>37</v>
      </c>
      <c r="B8" s="19" t="s">
        <v>56</v>
      </c>
      <c r="C8" s="20" t="s">
        <v>117</v>
      </c>
      <c r="D8" s="19" t="s">
        <v>118</v>
      </c>
      <c r="E8" s="21">
        <v>3</v>
      </c>
      <c r="F8" s="22" t="s">
        <v>119</v>
      </c>
      <c r="G8" s="22" t="s">
        <v>59</v>
      </c>
      <c r="H8" s="21" t="s">
        <v>120</v>
      </c>
      <c r="I8" s="21">
        <v>2025</v>
      </c>
      <c r="J8" s="22" t="s">
        <v>121</v>
      </c>
      <c r="K8" s="23" t="s">
        <v>122</v>
      </c>
      <c r="L8" s="23" t="s">
        <v>123</v>
      </c>
      <c r="M8" s="23" t="s">
        <v>124</v>
      </c>
      <c r="N8" s="23" t="s">
        <v>125</v>
      </c>
      <c r="O8" s="23" t="s">
        <v>126</v>
      </c>
    </row>
    <row r="9" spans="1:15" ht="75" customHeight="1" x14ac:dyDescent="0.3">
      <c r="A9" s="19" t="s">
        <v>37</v>
      </c>
      <c r="B9" s="19" t="s">
        <v>56</v>
      </c>
      <c r="C9" s="20" t="s">
        <v>127</v>
      </c>
      <c r="D9" s="19" t="s">
        <v>128</v>
      </c>
      <c r="E9" s="21">
        <v>4</v>
      </c>
      <c r="F9" s="22" t="s">
        <v>129</v>
      </c>
      <c r="G9" s="22" t="s">
        <v>59</v>
      </c>
      <c r="H9" s="21" t="s">
        <v>130</v>
      </c>
      <c r="I9" s="21">
        <v>2025</v>
      </c>
      <c r="J9" s="22" t="s">
        <v>81</v>
      </c>
      <c r="K9" s="23" t="s">
        <v>131</v>
      </c>
      <c r="L9" s="23" t="s">
        <v>132</v>
      </c>
      <c r="M9" s="23" t="s">
        <v>133</v>
      </c>
      <c r="N9" s="23" t="s">
        <v>134</v>
      </c>
      <c r="O9" s="23" t="s">
        <v>135</v>
      </c>
    </row>
    <row r="10" spans="1:15" ht="75" customHeight="1" x14ac:dyDescent="0.3">
      <c r="A10" s="19" t="s">
        <v>37</v>
      </c>
      <c r="B10" s="19" t="s">
        <v>56</v>
      </c>
      <c r="C10" s="20" t="s">
        <v>136</v>
      </c>
      <c r="D10" s="19" t="s">
        <v>137</v>
      </c>
      <c r="E10" s="21">
        <v>3</v>
      </c>
      <c r="F10" s="22" t="s">
        <v>1295</v>
      </c>
      <c r="G10" s="22" t="s">
        <v>59</v>
      </c>
      <c r="H10" s="21" t="s">
        <v>138</v>
      </c>
      <c r="I10" s="21">
        <v>2025</v>
      </c>
      <c r="J10" s="22" t="s">
        <v>81</v>
      </c>
      <c r="K10" s="23" t="s">
        <v>139</v>
      </c>
      <c r="L10" s="23" t="s">
        <v>140</v>
      </c>
      <c r="M10" s="23" t="s">
        <v>141</v>
      </c>
      <c r="N10" s="23" t="s">
        <v>142</v>
      </c>
      <c r="O10" s="23" t="s">
        <v>143</v>
      </c>
    </row>
    <row r="11" spans="1:15" ht="75" customHeight="1" x14ac:dyDescent="0.3">
      <c r="A11" s="19" t="s">
        <v>37</v>
      </c>
      <c r="B11" s="19" t="s">
        <v>144</v>
      </c>
      <c r="C11" s="20" t="s">
        <v>145</v>
      </c>
      <c r="D11" s="19" t="s">
        <v>146</v>
      </c>
      <c r="E11" s="21">
        <v>4</v>
      </c>
      <c r="F11" s="22" t="s">
        <v>147</v>
      </c>
      <c r="G11" s="22" t="s">
        <v>59</v>
      </c>
      <c r="H11" s="21" t="s">
        <v>148</v>
      </c>
      <c r="I11" s="21">
        <v>2025</v>
      </c>
      <c r="J11" s="22" t="s">
        <v>91</v>
      </c>
      <c r="K11" s="23" t="s">
        <v>149</v>
      </c>
      <c r="L11" s="23" t="s">
        <v>150</v>
      </c>
      <c r="M11" s="23" t="s">
        <v>151</v>
      </c>
      <c r="N11" s="23" t="s">
        <v>152</v>
      </c>
      <c r="O11" s="23" t="s">
        <v>153</v>
      </c>
    </row>
    <row r="12" spans="1:15" ht="75" customHeight="1" x14ac:dyDescent="0.3">
      <c r="A12" s="19" t="s">
        <v>37</v>
      </c>
      <c r="B12" s="19" t="s">
        <v>144</v>
      </c>
      <c r="C12" s="20" t="s">
        <v>154</v>
      </c>
      <c r="D12" s="19" t="s">
        <v>155</v>
      </c>
      <c r="E12" s="21">
        <v>3</v>
      </c>
      <c r="F12" s="22" t="s">
        <v>156</v>
      </c>
      <c r="G12" s="22" t="s">
        <v>59</v>
      </c>
      <c r="H12" s="21" t="s">
        <v>157</v>
      </c>
      <c r="I12" s="21">
        <v>2025</v>
      </c>
      <c r="J12" s="22" t="s">
        <v>91</v>
      </c>
      <c r="K12" s="23" t="s">
        <v>158</v>
      </c>
      <c r="L12" s="23" t="s">
        <v>159</v>
      </c>
      <c r="M12" s="23" t="s">
        <v>160</v>
      </c>
      <c r="N12" s="23" t="s">
        <v>161</v>
      </c>
      <c r="O12" s="23" t="s">
        <v>162</v>
      </c>
    </row>
    <row r="13" spans="1:15" ht="75" customHeight="1" x14ac:dyDescent="0.3">
      <c r="A13" s="19" t="s">
        <v>37</v>
      </c>
      <c r="B13" s="19" t="s">
        <v>144</v>
      </c>
      <c r="C13" s="20" t="s">
        <v>163</v>
      </c>
      <c r="D13" s="19" t="s">
        <v>164</v>
      </c>
      <c r="E13" s="21">
        <v>3</v>
      </c>
      <c r="F13" s="22" t="s">
        <v>165</v>
      </c>
      <c r="G13" s="22" t="s">
        <v>59</v>
      </c>
      <c r="H13" s="21" t="s">
        <v>166</v>
      </c>
      <c r="I13" s="21">
        <v>2025</v>
      </c>
      <c r="J13" s="22" t="s">
        <v>167</v>
      </c>
      <c r="K13" s="23" t="s">
        <v>168</v>
      </c>
      <c r="L13" s="23" t="s">
        <v>169</v>
      </c>
      <c r="M13" s="23" t="s">
        <v>170</v>
      </c>
      <c r="N13" s="23" t="s">
        <v>171</v>
      </c>
      <c r="O13" s="23" t="s">
        <v>172</v>
      </c>
    </row>
    <row r="14" spans="1:15" ht="75" customHeight="1" x14ac:dyDescent="0.3">
      <c r="A14" s="19" t="s">
        <v>37</v>
      </c>
      <c r="B14" s="19" t="s">
        <v>144</v>
      </c>
      <c r="C14" s="20" t="s">
        <v>173</v>
      </c>
      <c r="D14" s="19" t="s">
        <v>174</v>
      </c>
      <c r="E14" s="21">
        <v>4</v>
      </c>
      <c r="F14" s="22" t="s">
        <v>175</v>
      </c>
      <c r="G14" s="22" t="s">
        <v>59</v>
      </c>
      <c r="H14" s="21" t="s">
        <v>176</v>
      </c>
      <c r="I14" s="21">
        <v>2025</v>
      </c>
      <c r="J14" s="22" t="s">
        <v>91</v>
      </c>
      <c r="K14" s="23" t="s">
        <v>177</v>
      </c>
      <c r="L14" s="23" t="s">
        <v>178</v>
      </c>
      <c r="M14" s="23" t="s">
        <v>179</v>
      </c>
      <c r="N14" s="23" t="s">
        <v>180</v>
      </c>
      <c r="O14" s="23" t="s">
        <v>181</v>
      </c>
    </row>
    <row r="15" spans="1:15" ht="75" customHeight="1" x14ac:dyDescent="0.3">
      <c r="A15" s="19" t="s">
        <v>37</v>
      </c>
      <c r="B15" s="19" t="s">
        <v>144</v>
      </c>
      <c r="C15" s="20" t="s">
        <v>182</v>
      </c>
      <c r="D15" s="19" t="s">
        <v>183</v>
      </c>
      <c r="E15" s="21">
        <v>4</v>
      </c>
      <c r="F15" s="22" t="s">
        <v>184</v>
      </c>
      <c r="G15" s="22" t="s">
        <v>59</v>
      </c>
      <c r="H15" s="21" t="s">
        <v>185</v>
      </c>
      <c r="I15" s="21">
        <v>2025</v>
      </c>
      <c r="J15" s="22" t="s">
        <v>81</v>
      </c>
      <c r="K15" s="23" t="s">
        <v>186</v>
      </c>
      <c r="L15" s="23" t="s">
        <v>187</v>
      </c>
      <c r="M15" s="23" t="s">
        <v>188</v>
      </c>
      <c r="N15" s="23" t="s">
        <v>189</v>
      </c>
      <c r="O15" s="23" t="s">
        <v>190</v>
      </c>
    </row>
    <row r="16" spans="1:15" ht="75" customHeight="1" x14ac:dyDescent="0.3">
      <c r="A16" s="19" t="s">
        <v>37</v>
      </c>
      <c r="B16" s="19" t="s">
        <v>144</v>
      </c>
      <c r="C16" s="20" t="s">
        <v>191</v>
      </c>
      <c r="D16" s="19" t="s">
        <v>192</v>
      </c>
      <c r="E16" s="21">
        <v>3</v>
      </c>
      <c r="F16" s="22" t="s">
        <v>193</v>
      </c>
      <c r="G16" s="22" t="s">
        <v>59</v>
      </c>
      <c r="H16" s="21" t="s">
        <v>100</v>
      </c>
      <c r="I16" s="21">
        <v>2025</v>
      </c>
      <c r="J16" s="22" t="s">
        <v>194</v>
      </c>
      <c r="K16" s="23" t="s">
        <v>195</v>
      </c>
      <c r="L16" s="23" t="s">
        <v>196</v>
      </c>
      <c r="M16" s="23" t="s">
        <v>197</v>
      </c>
      <c r="N16" s="23" t="s">
        <v>198</v>
      </c>
      <c r="O16" s="23" t="s">
        <v>199</v>
      </c>
    </row>
    <row r="17" spans="1:15" ht="75" customHeight="1" x14ac:dyDescent="0.3">
      <c r="A17" s="19" t="s">
        <v>37</v>
      </c>
      <c r="B17" s="19" t="s">
        <v>144</v>
      </c>
      <c r="C17" s="20" t="s">
        <v>200</v>
      </c>
      <c r="D17" s="19" t="s">
        <v>201</v>
      </c>
      <c r="E17" s="21">
        <v>4</v>
      </c>
      <c r="F17" s="22" t="s">
        <v>202</v>
      </c>
      <c r="G17" s="22" t="s">
        <v>59</v>
      </c>
      <c r="H17" s="21" t="s">
        <v>100</v>
      </c>
      <c r="I17" s="21">
        <v>2025</v>
      </c>
      <c r="J17" s="22" t="s">
        <v>91</v>
      </c>
      <c r="K17" s="23" t="s">
        <v>203</v>
      </c>
      <c r="L17" s="23" t="s">
        <v>204</v>
      </c>
      <c r="M17" s="23" t="s">
        <v>205</v>
      </c>
      <c r="N17" s="23" t="s">
        <v>206</v>
      </c>
      <c r="O17" s="23" t="s">
        <v>207</v>
      </c>
    </row>
    <row r="18" spans="1:15" ht="75" customHeight="1" x14ac:dyDescent="0.3">
      <c r="A18" s="19" t="s">
        <v>37</v>
      </c>
      <c r="B18" s="19" t="s">
        <v>144</v>
      </c>
      <c r="C18" s="20" t="s">
        <v>208</v>
      </c>
      <c r="D18" s="19" t="s">
        <v>209</v>
      </c>
      <c r="E18" s="21">
        <v>3</v>
      </c>
      <c r="F18" s="22" t="s">
        <v>210</v>
      </c>
      <c r="G18" s="22" t="s">
        <v>59</v>
      </c>
      <c r="H18" s="21" t="s">
        <v>211</v>
      </c>
      <c r="I18" s="21">
        <v>2025</v>
      </c>
      <c r="J18" s="22" t="s">
        <v>81</v>
      </c>
      <c r="K18" s="23" t="s">
        <v>212</v>
      </c>
      <c r="L18" s="23" t="s">
        <v>213</v>
      </c>
      <c r="M18" s="23" t="s">
        <v>214</v>
      </c>
      <c r="N18" s="23" t="s">
        <v>215</v>
      </c>
      <c r="O18" s="23" t="s">
        <v>216</v>
      </c>
    </row>
    <row r="19" spans="1:15" ht="75" customHeight="1" x14ac:dyDescent="0.3">
      <c r="A19" s="19" t="s">
        <v>37</v>
      </c>
      <c r="B19" s="19" t="s">
        <v>217</v>
      </c>
      <c r="C19" s="20" t="s">
        <v>218</v>
      </c>
      <c r="D19" s="19" t="s">
        <v>219</v>
      </c>
      <c r="E19" s="21">
        <v>3</v>
      </c>
      <c r="F19" s="22" t="s">
        <v>220</v>
      </c>
      <c r="G19" s="22" t="s">
        <v>59</v>
      </c>
      <c r="H19" s="21" t="s">
        <v>221</v>
      </c>
      <c r="I19" s="21">
        <v>2025</v>
      </c>
      <c r="J19" s="22" t="s">
        <v>81</v>
      </c>
      <c r="K19" s="23" t="s">
        <v>222</v>
      </c>
      <c r="L19" s="23" t="s">
        <v>223</v>
      </c>
      <c r="M19" s="23" t="s">
        <v>224</v>
      </c>
      <c r="N19" s="23" t="s">
        <v>225</v>
      </c>
      <c r="O19" s="23" t="s">
        <v>226</v>
      </c>
    </row>
    <row r="20" spans="1:15" ht="75" customHeight="1" x14ac:dyDescent="0.3">
      <c r="A20" s="19" t="s">
        <v>37</v>
      </c>
      <c r="B20" s="19" t="s">
        <v>217</v>
      </c>
      <c r="C20" s="20" t="s">
        <v>227</v>
      </c>
      <c r="D20" s="19" t="s">
        <v>228</v>
      </c>
      <c r="E20" s="21">
        <v>3</v>
      </c>
      <c r="F20" s="22" t="s">
        <v>229</v>
      </c>
      <c r="G20" s="22" t="s">
        <v>59</v>
      </c>
      <c r="H20" s="21" t="s">
        <v>230</v>
      </c>
      <c r="I20" s="21">
        <v>2025</v>
      </c>
      <c r="J20" s="22" t="s">
        <v>231</v>
      </c>
      <c r="K20" s="23" t="s">
        <v>232</v>
      </c>
      <c r="L20" s="23" t="s">
        <v>233</v>
      </c>
      <c r="M20" s="23" t="s">
        <v>234</v>
      </c>
      <c r="N20" s="23" t="s">
        <v>235</v>
      </c>
      <c r="O20" s="23" t="s">
        <v>236</v>
      </c>
    </row>
    <row r="21" spans="1:15" ht="75" customHeight="1" x14ac:dyDescent="0.3">
      <c r="A21" s="19" t="s">
        <v>37</v>
      </c>
      <c r="B21" s="19" t="s">
        <v>217</v>
      </c>
      <c r="C21" s="20" t="s">
        <v>237</v>
      </c>
      <c r="D21" s="19" t="s">
        <v>238</v>
      </c>
      <c r="E21" s="21">
        <v>3</v>
      </c>
      <c r="F21" s="22" t="s">
        <v>239</v>
      </c>
      <c r="G21" s="22" t="s">
        <v>59</v>
      </c>
      <c r="H21" s="21" t="s">
        <v>240</v>
      </c>
      <c r="I21" s="21">
        <v>2025</v>
      </c>
      <c r="J21" s="22" t="s">
        <v>81</v>
      </c>
      <c r="K21" s="23" t="s">
        <v>241</v>
      </c>
      <c r="L21" s="23" t="s">
        <v>242</v>
      </c>
      <c r="M21" s="23" t="s">
        <v>243</v>
      </c>
      <c r="N21" s="23" t="s">
        <v>244</v>
      </c>
      <c r="O21" s="23" t="s">
        <v>245</v>
      </c>
    </row>
    <row r="22" spans="1:15" ht="75" customHeight="1" x14ac:dyDescent="0.3">
      <c r="A22" s="19" t="s">
        <v>37</v>
      </c>
      <c r="B22" s="19" t="s">
        <v>246</v>
      </c>
      <c r="C22" s="20" t="s">
        <v>247</v>
      </c>
      <c r="D22" s="19" t="s">
        <v>248</v>
      </c>
      <c r="E22" s="21">
        <v>3</v>
      </c>
      <c r="F22" s="22" t="s">
        <v>1296</v>
      </c>
      <c r="G22" s="22" t="s">
        <v>59</v>
      </c>
      <c r="H22" s="21" t="s">
        <v>1299</v>
      </c>
      <c r="I22" s="21">
        <v>2025</v>
      </c>
      <c r="J22" s="22"/>
      <c r="K22" s="23" t="s">
        <v>249</v>
      </c>
      <c r="L22" s="23" t="s">
        <v>250</v>
      </c>
      <c r="M22" s="23" t="s">
        <v>251</v>
      </c>
      <c r="N22" s="23" t="s">
        <v>252</v>
      </c>
      <c r="O22" s="23" t="s">
        <v>253</v>
      </c>
    </row>
    <row r="23" spans="1:15" ht="75" customHeight="1" x14ac:dyDescent="0.3">
      <c r="A23" s="19" t="s">
        <v>37</v>
      </c>
      <c r="B23" s="19" t="s">
        <v>246</v>
      </c>
      <c r="C23" s="20" t="s">
        <v>254</v>
      </c>
      <c r="D23" s="19" t="s">
        <v>255</v>
      </c>
      <c r="E23" s="21">
        <v>3</v>
      </c>
      <c r="F23" s="22" t="s">
        <v>256</v>
      </c>
      <c r="G23" s="22" t="s">
        <v>59</v>
      </c>
      <c r="H23" s="21" t="s">
        <v>257</v>
      </c>
      <c r="I23" s="21">
        <v>2025</v>
      </c>
      <c r="J23" s="22" t="s">
        <v>258</v>
      </c>
      <c r="K23" s="23" t="s">
        <v>259</v>
      </c>
      <c r="L23" s="23" t="s">
        <v>260</v>
      </c>
      <c r="M23" s="23" t="s">
        <v>261</v>
      </c>
      <c r="N23" s="23" t="s">
        <v>262</v>
      </c>
      <c r="O23" s="23" t="s">
        <v>263</v>
      </c>
    </row>
    <row r="24" spans="1:15" ht="75" customHeight="1" x14ac:dyDescent="0.3">
      <c r="A24" s="19" t="s">
        <v>37</v>
      </c>
      <c r="B24" s="19" t="s">
        <v>246</v>
      </c>
      <c r="C24" s="20" t="s">
        <v>264</v>
      </c>
      <c r="D24" s="19" t="s">
        <v>265</v>
      </c>
      <c r="E24" s="21">
        <v>3</v>
      </c>
      <c r="F24" s="22" t="s">
        <v>266</v>
      </c>
      <c r="G24" s="22" t="s">
        <v>59</v>
      </c>
      <c r="H24" s="21" t="s">
        <v>267</v>
      </c>
      <c r="I24" s="21">
        <v>2025</v>
      </c>
      <c r="J24" s="22" t="s">
        <v>81</v>
      </c>
      <c r="K24" s="23" t="s">
        <v>268</v>
      </c>
      <c r="L24" s="23" t="s">
        <v>269</v>
      </c>
      <c r="M24" s="23" t="s">
        <v>270</v>
      </c>
      <c r="N24" s="23" t="s">
        <v>271</v>
      </c>
      <c r="O24" s="23" t="s">
        <v>272</v>
      </c>
    </row>
    <row r="25" spans="1:15" ht="75" customHeight="1" x14ac:dyDescent="0.3">
      <c r="A25" s="19" t="s">
        <v>37</v>
      </c>
      <c r="B25" s="19" t="s">
        <v>246</v>
      </c>
      <c r="C25" s="20" t="s">
        <v>273</v>
      </c>
      <c r="D25" s="19" t="s">
        <v>274</v>
      </c>
      <c r="E25" s="21" t="s">
        <v>30</v>
      </c>
      <c r="F25" s="22" t="s">
        <v>31</v>
      </c>
      <c r="G25" s="22"/>
      <c r="H25" s="21"/>
      <c r="I25" s="21"/>
      <c r="J25" s="22" t="s">
        <v>275</v>
      </c>
      <c r="K25" s="23" t="s">
        <v>276</v>
      </c>
      <c r="L25" s="23" t="s">
        <v>277</v>
      </c>
      <c r="M25" s="23" t="s">
        <v>278</v>
      </c>
      <c r="N25" s="23" t="s">
        <v>279</v>
      </c>
      <c r="O25" s="23" t="s">
        <v>280</v>
      </c>
    </row>
    <row r="26" spans="1:15" ht="75" customHeight="1" x14ac:dyDescent="0.3">
      <c r="A26" s="19" t="s">
        <v>37</v>
      </c>
      <c r="B26" s="19" t="s">
        <v>246</v>
      </c>
      <c r="C26" s="20" t="s">
        <v>281</v>
      </c>
      <c r="D26" s="19" t="s">
        <v>282</v>
      </c>
      <c r="E26" s="21">
        <v>4</v>
      </c>
      <c r="F26" s="22" t="s">
        <v>283</v>
      </c>
      <c r="G26" s="22" t="s">
        <v>59</v>
      </c>
      <c r="H26" s="21" t="s">
        <v>284</v>
      </c>
      <c r="I26" s="21">
        <v>2025</v>
      </c>
      <c r="J26" s="22" t="s">
        <v>91</v>
      </c>
      <c r="K26" s="23" t="s">
        <v>285</v>
      </c>
      <c r="L26" s="23" t="s">
        <v>286</v>
      </c>
      <c r="M26" s="23" t="s">
        <v>287</v>
      </c>
      <c r="N26" s="23" t="s">
        <v>288</v>
      </c>
      <c r="O26" s="23" t="s">
        <v>289</v>
      </c>
    </row>
    <row r="27" spans="1:15" ht="75" customHeight="1" x14ac:dyDescent="0.3">
      <c r="A27" s="24" t="s">
        <v>38</v>
      </c>
      <c r="B27" s="24" t="s">
        <v>290</v>
      </c>
      <c r="C27" s="25" t="s">
        <v>291</v>
      </c>
      <c r="D27" s="24" t="s">
        <v>292</v>
      </c>
      <c r="E27" s="21">
        <v>3</v>
      </c>
      <c r="F27" s="34" t="s">
        <v>1301</v>
      </c>
      <c r="G27" s="22" t="s">
        <v>293</v>
      </c>
      <c r="H27" s="21" t="s">
        <v>294</v>
      </c>
      <c r="I27" s="21">
        <v>2025</v>
      </c>
      <c r="J27" s="22" t="s">
        <v>295</v>
      </c>
      <c r="K27" s="23" t="s">
        <v>296</v>
      </c>
      <c r="L27" s="23" t="s">
        <v>297</v>
      </c>
      <c r="M27" s="23" t="s">
        <v>298</v>
      </c>
      <c r="N27" s="23" t="s">
        <v>299</v>
      </c>
      <c r="O27" s="23" t="s">
        <v>300</v>
      </c>
    </row>
    <row r="28" spans="1:15" ht="75" customHeight="1" x14ac:dyDescent="0.3">
      <c r="A28" s="24" t="s">
        <v>38</v>
      </c>
      <c r="B28" s="24" t="s">
        <v>290</v>
      </c>
      <c r="C28" s="25" t="s">
        <v>301</v>
      </c>
      <c r="D28" s="24" t="s">
        <v>302</v>
      </c>
      <c r="E28" s="21">
        <v>3</v>
      </c>
      <c r="F28" s="34" t="s">
        <v>1297</v>
      </c>
      <c r="G28" s="22" t="s">
        <v>59</v>
      </c>
      <c r="H28" s="21" t="s">
        <v>1298</v>
      </c>
      <c r="I28" s="21">
        <v>2025</v>
      </c>
      <c r="J28" s="22"/>
      <c r="K28" s="23" t="s">
        <v>303</v>
      </c>
      <c r="L28" s="23" t="s">
        <v>304</v>
      </c>
      <c r="M28" s="23" t="s">
        <v>305</v>
      </c>
      <c r="N28" s="23" t="s">
        <v>306</v>
      </c>
      <c r="O28" s="23" t="s">
        <v>307</v>
      </c>
    </row>
    <row r="29" spans="1:15" ht="75" customHeight="1" x14ac:dyDescent="0.3">
      <c r="A29" s="24" t="s">
        <v>38</v>
      </c>
      <c r="B29" s="24" t="s">
        <v>290</v>
      </c>
      <c r="C29" s="25" t="s">
        <v>308</v>
      </c>
      <c r="D29" s="24" t="s">
        <v>309</v>
      </c>
      <c r="E29" s="33">
        <v>3</v>
      </c>
      <c r="F29" s="34" t="s">
        <v>1300</v>
      </c>
      <c r="G29" s="22" t="s">
        <v>59</v>
      </c>
      <c r="H29" s="21" t="s">
        <v>1299</v>
      </c>
      <c r="I29" s="21">
        <v>2025</v>
      </c>
      <c r="J29" s="22" t="s">
        <v>310</v>
      </c>
      <c r="K29" s="23" t="s">
        <v>311</v>
      </c>
      <c r="L29" s="23" t="s">
        <v>312</v>
      </c>
      <c r="M29" s="23" t="s">
        <v>313</v>
      </c>
      <c r="N29" s="23" t="s">
        <v>314</v>
      </c>
      <c r="O29" s="23" t="s">
        <v>315</v>
      </c>
    </row>
    <row r="30" spans="1:15" ht="75" customHeight="1" x14ac:dyDescent="0.3">
      <c r="A30" s="24" t="s">
        <v>38</v>
      </c>
      <c r="B30" s="24" t="s">
        <v>290</v>
      </c>
      <c r="C30" s="25" t="s">
        <v>316</v>
      </c>
      <c r="D30" s="24" t="s">
        <v>317</v>
      </c>
      <c r="E30" s="21">
        <v>2</v>
      </c>
      <c r="F30" s="22" t="s">
        <v>318</v>
      </c>
      <c r="G30" s="22" t="s">
        <v>319</v>
      </c>
      <c r="H30" s="21" t="s">
        <v>294</v>
      </c>
      <c r="I30" s="21">
        <v>2019</v>
      </c>
      <c r="J30" s="22" t="s">
        <v>320</v>
      </c>
      <c r="K30" s="23" t="s">
        <v>321</v>
      </c>
      <c r="L30" s="23" t="s">
        <v>322</v>
      </c>
      <c r="M30" s="23" t="s">
        <v>323</v>
      </c>
      <c r="N30" s="23" t="s">
        <v>324</v>
      </c>
      <c r="O30" s="23" t="s">
        <v>325</v>
      </c>
    </row>
    <row r="31" spans="1:15" ht="75" customHeight="1" x14ac:dyDescent="0.3">
      <c r="A31" s="24" t="s">
        <v>38</v>
      </c>
      <c r="B31" s="24" t="s">
        <v>326</v>
      </c>
      <c r="C31" s="25" t="s">
        <v>327</v>
      </c>
      <c r="D31" s="24" t="s">
        <v>328</v>
      </c>
      <c r="E31" s="21">
        <v>4</v>
      </c>
      <c r="F31" s="22" t="s">
        <v>329</v>
      </c>
      <c r="G31" s="22" t="s">
        <v>59</v>
      </c>
      <c r="H31" s="21" t="s">
        <v>330</v>
      </c>
      <c r="I31" s="21">
        <v>2025</v>
      </c>
      <c r="J31" s="22" t="s">
        <v>91</v>
      </c>
      <c r="K31" s="23" t="s">
        <v>331</v>
      </c>
      <c r="L31" s="23" t="s">
        <v>332</v>
      </c>
      <c r="M31" s="23" t="s">
        <v>333</v>
      </c>
      <c r="N31" s="23" t="s">
        <v>334</v>
      </c>
      <c r="O31" s="23" t="s">
        <v>335</v>
      </c>
    </row>
    <row r="32" spans="1:15" ht="75" customHeight="1" x14ac:dyDescent="0.3">
      <c r="A32" s="24" t="s">
        <v>38</v>
      </c>
      <c r="B32" s="24" t="s">
        <v>326</v>
      </c>
      <c r="C32" s="25" t="s">
        <v>336</v>
      </c>
      <c r="D32" s="24" t="s">
        <v>337</v>
      </c>
      <c r="E32" s="21">
        <v>4</v>
      </c>
      <c r="F32" s="22" t="s">
        <v>338</v>
      </c>
      <c r="G32" s="22" t="s">
        <v>59</v>
      </c>
      <c r="H32" s="21" t="s">
        <v>339</v>
      </c>
      <c r="I32" s="21">
        <v>2025</v>
      </c>
      <c r="J32" s="22" t="s">
        <v>91</v>
      </c>
      <c r="K32" s="23" t="s">
        <v>340</v>
      </c>
      <c r="L32" s="23" t="s">
        <v>341</v>
      </c>
      <c r="M32" s="23" t="s">
        <v>342</v>
      </c>
      <c r="N32" s="23" t="s">
        <v>343</v>
      </c>
      <c r="O32" s="23" t="s">
        <v>344</v>
      </c>
    </row>
    <row r="33" spans="1:15" ht="75" customHeight="1" x14ac:dyDescent="0.3">
      <c r="A33" s="24" t="s">
        <v>38</v>
      </c>
      <c r="B33" s="24" t="s">
        <v>326</v>
      </c>
      <c r="C33" s="25" t="s">
        <v>345</v>
      </c>
      <c r="D33" s="24" t="s">
        <v>346</v>
      </c>
      <c r="E33" s="21">
        <v>4</v>
      </c>
      <c r="F33" s="22" t="s">
        <v>347</v>
      </c>
      <c r="G33" s="22" t="s">
        <v>59</v>
      </c>
      <c r="H33" s="21" t="s">
        <v>348</v>
      </c>
      <c r="I33" s="21">
        <v>2025</v>
      </c>
      <c r="J33" s="22" t="s">
        <v>81</v>
      </c>
      <c r="K33" s="23" t="s">
        <v>349</v>
      </c>
      <c r="L33" s="23" t="s">
        <v>350</v>
      </c>
      <c r="M33" s="23" t="s">
        <v>351</v>
      </c>
      <c r="N33" s="23" t="s">
        <v>352</v>
      </c>
      <c r="O33" s="23" t="s">
        <v>353</v>
      </c>
    </row>
    <row r="34" spans="1:15" ht="75" customHeight="1" x14ac:dyDescent="0.3">
      <c r="A34" s="24" t="s">
        <v>38</v>
      </c>
      <c r="B34" s="24" t="s">
        <v>354</v>
      </c>
      <c r="C34" s="25" t="s">
        <v>355</v>
      </c>
      <c r="D34" s="24" t="s">
        <v>356</v>
      </c>
      <c r="E34" s="21">
        <v>4</v>
      </c>
      <c r="F34" s="22" t="s">
        <v>357</v>
      </c>
      <c r="G34" s="34" t="s">
        <v>358</v>
      </c>
      <c r="H34" s="21" t="s">
        <v>359</v>
      </c>
      <c r="I34" s="21">
        <v>2025</v>
      </c>
      <c r="J34" s="22" t="s">
        <v>91</v>
      </c>
      <c r="K34" s="23" t="s">
        <v>360</v>
      </c>
      <c r="L34" s="23" t="s">
        <v>361</v>
      </c>
      <c r="M34" s="23" t="s">
        <v>362</v>
      </c>
      <c r="N34" s="23" t="s">
        <v>363</v>
      </c>
      <c r="O34" s="23" t="s">
        <v>364</v>
      </c>
    </row>
    <row r="35" spans="1:15" ht="75" customHeight="1" x14ac:dyDescent="0.3">
      <c r="A35" s="24" t="s">
        <v>38</v>
      </c>
      <c r="B35" s="24" t="s">
        <v>354</v>
      </c>
      <c r="C35" s="25" t="s">
        <v>365</v>
      </c>
      <c r="D35" s="24" t="s">
        <v>366</v>
      </c>
      <c r="E35" s="21">
        <v>3</v>
      </c>
      <c r="F35" s="34" t="s">
        <v>1302</v>
      </c>
      <c r="G35" s="22" t="s">
        <v>59</v>
      </c>
      <c r="H35" s="33" t="s">
        <v>1303</v>
      </c>
      <c r="I35" s="21">
        <v>2025</v>
      </c>
      <c r="J35" s="22"/>
      <c r="K35" s="23" t="s">
        <v>367</v>
      </c>
      <c r="L35" s="23" t="s">
        <v>368</v>
      </c>
      <c r="M35" s="23" t="s">
        <v>369</v>
      </c>
      <c r="N35" s="23" t="s">
        <v>370</v>
      </c>
      <c r="O35" s="23" t="s">
        <v>371</v>
      </c>
    </row>
    <row r="36" spans="1:15" ht="75" customHeight="1" x14ac:dyDescent="0.3">
      <c r="A36" s="24" t="s">
        <v>38</v>
      </c>
      <c r="B36" s="24" t="s">
        <v>354</v>
      </c>
      <c r="C36" s="25" t="s">
        <v>372</v>
      </c>
      <c r="D36" s="24" t="s">
        <v>373</v>
      </c>
      <c r="E36" s="21">
        <v>4</v>
      </c>
      <c r="F36" s="34" t="s">
        <v>1306</v>
      </c>
      <c r="G36" s="22" t="s">
        <v>59</v>
      </c>
      <c r="H36" s="33" t="s">
        <v>110</v>
      </c>
      <c r="I36" s="21">
        <v>2025</v>
      </c>
      <c r="J36" s="22"/>
      <c r="K36" s="23" t="s">
        <v>374</v>
      </c>
      <c r="L36" s="23" t="s">
        <v>375</v>
      </c>
      <c r="M36" s="23" t="s">
        <v>376</v>
      </c>
      <c r="N36" s="23" t="s">
        <v>377</v>
      </c>
      <c r="O36" s="23" t="s">
        <v>378</v>
      </c>
    </row>
    <row r="37" spans="1:15" ht="75" customHeight="1" x14ac:dyDescent="0.3">
      <c r="A37" s="24" t="s">
        <v>38</v>
      </c>
      <c r="B37" s="24" t="s">
        <v>379</v>
      </c>
      <c r="C37" s="25" t="s">
        <v>380</v>
      </c>
      <c r="D37" s="24" t="s">
        <v>381</v>
      </c>
      <c r="E37" s="21">
        <v>3</v>
      </c>
      <c r="F37" s="34" t="s">
        <v>1307</v>
      </c>
      <c r="G37" s="34" t="s">
        <v>1305</v>
      </c>
      <c r="H37" s="33" t="s">
        <v>1304</v>
      </c>
      <c r="I37" s="21">
        <v>2025</v>
      </c>
      <c r="J37" s="22"/>
      <c r="K37" s="23" t="s">
        <v>382</v>
      </c>
      <c r="L37" s="23" t="s">
        <v>383</v>
      </c>
      <c r="M37" s="23" t="s">
        <v>384</v>
      </c>
      <c r="N37" s="23" t="s">
        <v>385</v>
      </c>
      <c r="O37" s="23" t="s">
        <v>386</v>
      </c>
    </row>
    <row r="38" spans="1:15" ht="75" customHeight="1" x14ac:dyDescent="0.3">
      <c r="A38" s="24" t="s">
        <v>38</v>
      </c>
      <c r="B38" s="24" t="s">
        <v>379</v>
      </c>
      <c r="C38" s="25" t="s">
        <v>387</v>
      </c>
      <c r="D38" s="24" t="s">
        <v>388</v>
      </c>
      <c r="E38" s="21">
        <v>3</v>
      </c>
      <c r="F38" s="34" t="s">
        <v>1308</v>
      </c>
      <c r="G38" s="22" t="s">
        <v>59</v>
      </c>
      <c r="H38" s="33" t="s">
        <v>1309</v>
      </c>
      <c r="I38" s="21">
        <v>2025</v>
      </c>
      <c r="J38" s="22"/>
      <c r="K38" s="23" t="s">
        <v>389</v>
      </c>
      <c r="L38" s="23" t="s">
        <v>390</v>
      </c>
      <c r="M38" s="23" t="s">
        <v>391</v>
      </c>
      <c r="N38" s="23" t="s">
        <v>392</v>
      </c>
      <c r="O38" s="23" t="s">
        <v>393</v>
      </c>
    </row>
    <row r="39" spans="1:15" ht="75" customHeight="1" x14ac:dyDescent="0.3">
      <c r="A39" s="24" t="s">
        <v>38</v>
      </c>
      <c r="B39" s="24" t="s">
        <v>379</v>
      </c>
      <c r="C39" s="25" t="s">
        <v>394</v>
      </c>
      <c r="D39" s="24" t="s">
        <v>395</v>
      </c>
      <c r="E39" s="21" t="s">
        <v>30</v>
      </c>
      <c r="F39" s="22" t="s">
        <v>31</v>
      </c>
      <c r="G39" s="22"/>
      <c r="H39" s="21"/>
      <c r="I39" s="21"/>
      <c r="J39" s="22"/>
      <c r="K39" s="23" t="s">
        <v>396</v>
      </c>
      <c r="L39" s="23" t="s">
        <v>397</v>
      </c>
      <c r="M39" s="23" t="s">
        <v>398</v>
      </c>
      <c r="N39" s="23" t="s">
        <v>399</v>
      </c>
      <c r="O39" s="23" t="s">
        <v>400</v>
      </c>
    </row>
    <row r="40" spans="1:15" ht="75" customHeight="1" x14ac:dyDescent="0.3">
      <c r="A40" s="24" t="s">
        <v>38</v>
      </c>
      <c r="B40" s="24" t="s">
        <v>401</v>
      </c>
      <c r="C40" s="25" t="s">
        <v>402</v>
      </c>
      <c r="D40" s="24" t="s">
        <v>403</v>
      </c>
      <c r="E40" s="21">
        <v>2</v>
      </c>
      <c r="F40" s="22" t="s">
        <v>404</v>
      </c>
      <c r="G40" s="22" t="s">
        <v>405</v>
      </c>
      <c r="H40" s="21" t="s">
        <v>294</v>
      </c>
      <c r="I40" s="21">
        <v>2025</v>
      </c>
      <c r="J40" s="22" t="s">
        <v>81</v>
      </c>
      <c r="K40" s="23" t="s">
        <v>406</v>
      </c>
      <c r="L40" s="23" t="s">
        <v>407</v>
      </c>
      <c r="M40" s="23" t="s">
        <v>408</v>
      </c>
      <c r="N40" s="23" t="s">
        <v>409</v>
      </c>
      <c r="O40" s="23" t="s">
        <v>410</v>
      </c>
    </row>
    <row r="41" spans="1:15" ht="75" customHeight="1" x14ac:dyDescent="0.3">
      <c r="A41" s="24" t="s">
        <v>38</v>
      </c>
      <c r="B41" s="24" t="s">
        <v>401</v>
      </c>
      <c r="C41" s="25" t="s">
        <v>411</v>
      </c>
      <c r="D41" s="24" t="s">
        <v>412</v>
      </c>
      <c r="E41" s="21">
        <v>3</v>
      </c>
      <c r="F41" s="22" t="s">
        <v>413</v>
      </c>
      <c r="G41" s="22" t="s">
        <v>59</v>
      </c>
      <c r="H41" s="21" t="s">
        <v>414</v>
      </c>
      <c r="I41" s="21">
        <v>2025</v>
      </c>
      <c r="J41" s="22" t="s">
        <v>91</v>
      </c>
      <c r="K41" s="23" t="s">
        <v>415</v>
      </c>
      <c r="L41" s="23" t="s">
        <v>416</v>
      </c>
      <c r="M41" s="23" t="s">
        <v>417</v>
      </c>
      <c r="N41" s="23" t="s">
        <v>418</v>
      </c>
      <c r="O41" s="23" t="s">
        <v>419</v>
      </c>
    </row>
    <row r="42" spans="1:15" ht="75" customHeight="1" x14ac:dyDescent="0.3">
      <c r="A42" s="24" t="s">
        <v>38</v>
      </c>
      <c r="B42" s="24" t="s">
        <v>401</v>
      </c>
      <c r="C42" s="25" t="s">
        <v>420</v>
      </c>
      <c r="D42" s="24" t="s">
        <v>421</v>
      </c>
      <c r="E42" s="21">
        <v>4</v>
      </c>
      <c r="F42" s="22" t="s">
        <v>422</v>
      </c>
      <c r="G42" s="22" t="s">
        <v>59</v>
      </c>
      <c r="H42" s="21" t="s">
        <v>423</v>
      </c>
      <c r="I42" s="21">
        <v>2025</v>
      </c>
      <c r="J42" s="22" t="s">
        <v>91</v>
      </c>
      <c r="K42" s="23" t="s">
        <v>424</v>
      </c>
      <c r="L42" s="23" t="s">
        <v>425</v>
      </c>
      <c r="M42" s="23" t="s">
        <v>426</v>
      </c>
      <c r="N42" s="23" t="s">
        <v>427</v>
      </c>
      <c r="O42" s="23" t="s">
        <v>428</v>
      </c>
    </row>
    <row r="43" spans="1:15" ht="75" customHeight="1" x14ac:dyDescent="0.3">
      <c r="A43" s="24" t="s">
        <v>38</v>
      </c>
      <c r="B43" s="24" t="s">
        <v>429</v>
      </c>
      <c r="C43" s="25" t="s">
        <v>430</v>
      </c>
      <c r="D43" s="24" t="s">
        <v>431</v>
      </c>
      <c r="E43" s="21">
        <v>4</v>
      </c>
      <c r="F43" s="22" t="s">
        <v>432</v>
      </c>
      <c r="G43" s="22" t="s">
        <v>433</v>
      </c>
      <c r="H43" s="21" t="s">
        <v>434</v>
      </c>
      <c r="I43" s="21">
        <v>2025</v>
      </c>
      <c r="J43" s="22" t="s">
        <v>91</v>
      </c>
      <c r="K43" s="23" t="s">
        <v>435</v>
      </c>
      <c r="L43" s="23" t="s">
        <v>436</v>
      </c>
      <c r="M43" s="23" t="s">
        <v>437</v>
      </c>
      <c r="N43" s="23" t="s">
        <v>438</v>
      </c>
      <c r="O43" s="23" t="s">
        <v>439</v>
      </c>
    </row>
    <row r="44" spans="1:15" ht="75" customHeight="1" x14ac:dyDescent="0.3">
      <c r="A44" s="24" t="s">
        <v>38</v>
      </c>
      <c r="B44" s="24" t="s">
        <v>429</v>
      </c>
      <c r="C44" s="25" t="s">
        <v>440</v>
      </c>
      <c r="D44" s="24" t="s">
        <v>441</v>
      </c>
      <c r="E44" s="21">
        <v>4</v>
      </c>
      <c r="F44" s="22" t="s">
        <v>442</v>
      </c>
      <c r="G44" s="22" t="s">
        <v>59</v>
      </c>
      <c r="H44" s="21" t="s">
        <v>443</v>
      </c>
      <c r="I44" s="21">
        <v>2025</v>
      </c>
      <c r="J44" s="22" t="s">
        <v>81</v>
      </c>
      <c r="K44" s="23" t="s">
        <v>444</v>
      </c>
      <c r="L44" s="23" t="s">
        <v>445</v>
      </c>
      <c r="M44" s="23" t="s">
        <v>446</v>
      </c>
      <c r="N44" s="23" t="s">
        <v>447</v>
      </c>
      <c r="O44" s="23" t="s">
        <v>448</v>
      </c>
    </row>
    <row r="45" spans="1:15" ht="75" customHeight="1" x14ac:dyDescent="0.3">
      <c r="A45" s="24" t="s">
        <v>38</v>
      </c>
      <c r="B45" s="24" t="s">
        <v>429</v>
      </c>
      <c r="C45" s="25" t="s">
        <v>449</v>
      </c>
      <c r="D45" s="24" t="s">
        <v>450</v>
      </c>
      <c r="E45" s="21">
        <v>4</v>
      </c>
      <c r="F45" s="22" t="s">
        <v>451</v>
      </c>
      <c r="G45" s="22" t="s">
        <v>59</v>
      </c>
      <c r="H45" s="21" t="s">
        <v>452</v>
      </c>
      <c r="I45" s="21">
        <v>2025</v>
      </c>
      <c r="J45" s="22" t="s">
        <v>91</v>
      </c>
      <c r="K45" s="23" t="s">
        <v>453</v>
      </c>
      <c r="L45" s="23" t="s">
        <v>454</v>
      </c>
      <c r="M45" s="23" t="s">
        <v>455</v>
      </c>
      <c r="N45" s="23" t="s">
        <v>456</v>
      </c>
      <c r="O45" s="23" t="s">
        <v>457</v>
      </c>
    </row>
    <row r="46" spans="1:15" ht="75" customHeight="1" x14ac:dyDescent="0.3">
      <c r="A46" s="24" t="s">
        <v>38</v>
      </c>
      <c r="B46" s="24" t="s">
        <v>429</v>
      </c>
      <c r="C46" s="25" t="s">
        <v>458</v>
      </c>
      <c r="D46" s="24" t="s">
        <v>459</v>
      </c>
      <c r="E46" s="21">
        <v>4</v>
      </c>
      <c r="F46" s="22" t="s">
        <v>460</v>
      </c>
      <c r="G46" s="22" t="s">
        <v>59</v>
      </c>
      <c r="H46" s="21" t="s">
        <v>461</v>
      </c>
      <c r="I46" s="21">
        <v>2025</v>
      </c>
      <c r="J46" s="22" t="s">
        <v>91</v>
      </c>
      <c r="K46" s="23" t="s">
        <v>462</v>
      </c>
      <c r="L46" s="23" t="s">
        <v>463</v>
      </c>
      <c r="M46" s="23" t="s">
        <v>464</v>
      </c>
      <c r="N46" s="23" t="s">
        <v>465</v>
      </c>
      <c r="O46" s="23" t="s">
        <v>466</v>
      </c>
    </row>
    <row r="47" spans="1:15" ht="75" customHeight="1" x14ac:dyDescent="0.3">
      <c r="A47" s="24" t="s">
        <v>38</v>
      </c>
      <c r="B47" s="24" t="s">
        <v>429</v>
      </c>
      <c r="C47" s="25" t="s">
        <v>467</v>
      </c>
      <c r="D47" s="24" t="s">
        <v>468</v>
      </c>
      <c r="E47" s="21">
        <v>4</v>
      </c>
      <c r="F47" s="22" t="s">
        <v>469</v>
      </c>
      <c r="G47" s="22" t="s">
        <v>59</v>
      </c>
      <c r="H47" s="21" t="s">
        <v>414</v>
      </c>
      <c r="I47" s="21">
        <v>2025</v>
      </c>
      <c r="J47" s="22" t="s">
        <v>91</v>
      </c>
      <c r="K47" s="23" t="s">
        <v>470</v>
      </c>
      <c r="L47" s="23" t="s">
        <v>471</v>
      </c>
      <c r="M47" s="23" t="s">
        <v>472</v>
      </c>
      <c r="N47" s="23" t="s">
        <v>473</v>
      </c>
      <c r="O47" s="23" t="s">
        <v>474</v>
      </c>
    </row>
    <row r="48" spans="1:15" ht="75" customHeight="1" x14ac:dyDescent="0.3">
      <c r="A48" s="24" t="s">
        <v>38</v>
      </c>
      <c r="B48" s="24" t="s">
        <v>429</v>
      </c>
      <c r="C48" s="25" t="s">
        <v>475</v>
      </c>
      <c r="D48" s="24" t="s">
        <v>476</v>
      </c>
      <c r="E48" s="21">
        <v>4</v>
      </c>
      <c r="F48" s="22" t="s">
        <v>477</v>
      </c>
      <c r="G48" s="22" t="s">
        <v>59</v>
      </c>
      <c r="H48" s="21" t="s">
        <v>478</v>
      </c>
      <c r="I48" s="21">
        <v>2025</v>
      </c>
      <c r="J48" s="22" t="s">
        <v>81</v>
      </c>
      <c r="K48" s="23" t="s">
        <v>479</v>
      </c>
      <c r="L48" s="23" t="s">
        <v>480</v>
      </c>
      <c r="M48" s="23" t="s">
        <v>481</v>
      </c>
      <c r="N48" s="23" t="s">
        <v>482</v>
      </c>
      <c r="O48" s="23" t="s">
        <v>483</v>
      </c>
    </row>
    <row r="49" spans="1:15" ht="75" customHeight="1" x14ac:dyDescent="0.3">
      <c r="A49" s="24" t="s">
        <v>38</v>
      </c>
      <c r="B49" s="24" t="s">
        <v>429</v>
      </c>
      <c r="C49" s="25" t="s">
        <v>484</v>
      </c>
      <c r="D49" s="24" t="s">
        <v>485</v>
      </c>
      <c r="E49" s="21">
        <v>3</v>
      </c>
      <c r="F49" s="22" t="s">
        <v>486</v>
      </c>
      <c r="G49" s="22" t="s">
        <v>59</v>
      </c>
      <c r="H49" s="21" t="s">
        <v>487</v>
      </c>
      <c r="I49" s="21">
        <v>2025</v>
      </c>
      <c r="J49" s="22" t="s">
        <v>81</v>
      </c>
      <c r="K49" s="23" t="s">
        <v>488</v>
      </c>
      <c r="L49" s="23" t="s">
        <v>489</v>
      </c>
      <c r="M49" s="23" t="s">
        <v>490</v>
      </c>
      <c r="N49" s="23" t="s">
        <v>491</v>
      </c>
      <c r="O49" s="23" t="s">
        <v>492</v>
      </c>
    </row>
    <row r="50" spans="1:15" ht="75" customHeight="1" x14ac:dyDescent="0.3">
      <c r="A50" s="24" t="s">
        <v>38</v>
      </c>
      <c r="B50" s="24" t="s">
        <v>429</v>
      </c>
      <c r="C50" s="25" t="s">
        <v>493</v>
      </c>
      <c r="D50" s="24" t="s">
        <v>494</v>
      </c>
      <c r="E50" s="21">
        <v>3</v>
      </c>
      <c r="F50" s="22" t="s">
        <v>495</v>
      </c>
      <c r="G50" s="22" t="s">
        <v>496</v>
      </c>
      <c r="H50" s="21" t="s">
        <v>294</v>
      </c>
      <c r="I50" s="21">
        <v>2025</v>
      </c>
      <c r="J50" s="22" t="s">
        <v>497</v>
      </c>
      <c r="K50" s="23" t="s">
        <v>498</v>
      </c>
      <c r="L50" s="23" t="s">
        <v>499</v>
      </c>
      <c r="M50" s="23" t="s">
        <v>500</v>
      </c>
      <c r="N50" s="23" t="s">
        <v>501</v>
      </c>
      <c r="O50" s="23" t="s">
        <v>502</v>
      </c>
    </row>
    <row r="51" spans="1:15" ht="75" customHeight="1" x14ac:dyDescent="0.3">
      <c r="A51" s="26" t="s">
        <v>39</v>
      </c>
      <c r="B51" s="26" t="s">
        <v>503</v>
      </c>
      <c r="C51" s="27" t="s">
        <v>504</v>
      </c>
      <c r="D51" s="26" t="s">
        <v>505</v>
      </c>
      <c r="E51" s="21">
        <v>4</v>
      </c>
      <c r="F51" s="22" t="s">
        <v>506</v>
      </c>
      <c r="G51" s="22" t="s">
        <v>59</v>
      </c>
      <c r="H51" s="21" t="s">
        <v>507</v>
      </c>
      <c r="I51" s="21">
        <v>2025</v>
      </c>
      <c r="J51" s="22" t="s">
        <v>91</v>
      </c>
      <c r="K51" s="23" t="s">
        <v>508</v>
      </c>
      <c r="L51" s="23" t="s">
        <v>509</v>
      </c>
      <c r="M51" s="23" t="s">
        <v>510</v>
      </c>
      <c r="N51" s="23" t="s">
        <v>511</v>
      </c>
      <c r="O51" s="23" t="s">
        <v>512</v>
      </c>
    </row>
    <row r="52" spans="1:15" ht="75" customHeight="1" x14ac:dyDescent="0.3">
      <c r="A52" s="26" t="s">
        <v>39</v>
      </c>
      <c r="B52" s="26" t="s">
        <v>503</v>
      </c>
      <c r="C52" s="27" t="s">
        <v>513</v>
      </c>
      <c r="D52" s="26" t="s">
        <v>514</v>
      </c>
      <c r="E52" s="21">
        <v>4</v>
      </c>
      <c r="F52" s="22" t="s">
        <v>515</v>
      </c>
      <c r="G52" s="22" t="s">
        <v>59</v>
      </c>
      <c r="H52" s="21" t="s">
        <v>516</v>
      </c>
      <c r="I52" s="21">
        <v>2025</v>
      </c>
      <c r="J52" s="22" t="s">
        <v>517</v>
      </c>
      <c r="K52" s="23" t="s">
        <v>518</v>
      </c>
      <c r="L52" s="23" t="s">
        <v>519</v>
      </c>
      <c r="M52" s="23" t="s">
        <v>520</v>
      </c>
      <c r="N52" s="23" t="s">
        <v>521</v>
      </c>
      <c r="O52" s="23" t="s">
        <v>522</v>
      </c>
    </row>
    <row r="53" spans="1:15" ht="75" customHeight="1" x14ac:dyDescent="0.3">
      <c r="A53" s="26" t="s">
        <v>39</v>
      </c>
      <c r="B53" s="26" t="s">
        <v>503</v>
      </c>
      <c r="C53" s="27" t="s">
        <v>523</v>
      </c>
      <c r="D53" s="26" t="s">
        <v>524</v>
      </c>
      <c r="E53" s="21">
        <v>3</v>
      </c>
      <c r="F53" s="22" t="s">
        <v>525</v>
      </c>
      <c r="G53" s="22" t="s">
        <v>59</v>
      </c>
      <c r="H53" s="21" t="s">
        <v>526</v>
      </c>
      <c r="I53" s="21">
        <v>2025</v>
      </c>
      <c r="J53" s="22" t="s">
        <v>81</v>
      </c>
      <c r="K53" s="23" t="s">
        <v>527</v>
      </c>
      <c r="L53" s="23" t="s">
        <v>528</v>
      </c>
      <c r="M53" s="23" t="s">
        <v>529</v>
      </c>
      <c r="N53" s="23" t="s">
        <v>530</v>
      </c>
      <c r="O53" s="23" t="s">
        <v>531</v>
      </c>
    </row>
    <row r="54" spans="1:15" ht="75" customHeight="1" x14ac:dyDescent="0.3">
      <c r="A54" s="26" t="s">
        <v>39</v>
      </c>
      <c r="B54" s="26" t="s">
        <v>503</v>
      </c>
      <c r="C54" s="27" t="s">
        <v>532</v>
      </c>
      <c r="D54" s="26" t="s">
        <v>533</v>
      </c>
      <c r="E54" s="21">
        <v>3</v>
      </c>
      <c r="F54" s="22" t="s">
        <v>534</v>
      </c>
      <c r="G54" s="22" t="s">
        <v>59</v>
      </c>
      <c r="H54" s="21" t="s">
        <v>535</v>
      </c>
      <c r="I54" s="21">
        <v>2025</v>
      </c>
      <c r="J54" s="22" t="s">
        <v>536</v>
      </c>
      <c r="K54" s="23" t="s">
        <v>537</v>
      </c>
      <c r="L54" s="23" t="s">
        <v>538</v>
      </c>
      <c r="M54" s="23" t="s">
        <v>539</v>
      </c>
      <c r="N54" s="23" t="s">
        <v>540</v>
      </c>
      <c r="O54" s="23" t="s">
        <v>541</v>
      </c>
    </row>
    <row r="55" spans="1:15" ht="75" customHeight="1" x14ac:dyDescent="0.3">
      <c r="A55" s="26" t="s">
        <v>39</v>
      </c>
      <c r="B55" s="26" t="s">
        <v>503</v>
      </c>
      <c r="C55" s="27" t="s">
        <v>542</v>
      </c>
      <c r="D55" s="26" t="s">
        <v>543</v>
      </c>
      <c r="E55" s="21">
        <v>4</v>
      </c>
      <c r="F55" s="22" t="s">
        <v>544</v>
      </c>
      <c r="G55" s="22" t="s">
        <v>59</v>
      </c>
      <c r="H55" s="21" t="s">
        <v>545</v>
      </c>
      <c r="I55" s="21">
        <v>2025</v>
      </c>
      <c r="J55" s="22" t="s">
        <v>91</v>
      </c>
      <c r="K55" s="23" t="s">
        <v>546</v>
      </c>
      <c r="L55" s="23" t="s">
        <v>547</v>
      </c>
      <c r="M55" s="23" t="s">
        <v>548</v>
      </c>
      <c r="N55" s="23" t="s">
        <v>549</v>
      </c>
      <c r="O55" s="23" t="s">
        <v>550</v>
      </c>
    </row>
    <row r="56" spans="1:15" ht="75" customHeight="1" x14ac:dyDescent="0.3">
      <c r="A56" s="26" t="s">
        <v>39</v>
      </c>
      <c r="B56" s="26" t="s">
        <v>551</v>
      </c>
      <c r="C56" s="27" t="s">
        <v>552</v>
      </c>
      <c r="D56" s="26" t="s">
        <v>553</v>
      </c>
      <c r="E56" s="21">
        <v>4</v>
      </c>
      <c r="F56" s="22" t="s">
        <v>554</v>
      </c>
      <c r="G56" s="22" t="s">
        <v>59</v>
      </c>
      <c r="H56" s="21" t="s">
        <v>555</v>
      </c>
      <c r="I56" s="21">
        <v>2025</v>
      </c>
      <c r="J56" s="22" t="s">
        <v>81</v>
      </c>
      <c r="K56" s="23" t="s">
        <v>556</v>
      </c>
      <c r="L56" s="23" t="s">
        <v>557</v>
      </c>
      <c r="M56" s="23" t="s">
        <v>558</v>
      </c>
      <c r="N56" s="23" t="s">
        <v>559</v>
      </c>
      <c r="O56" s="23" t="s">
        <v>560</v>
      </c>
    </row>
    <row r="57" spans="1:15" ht="75" customHeight="1" x14ac:dyDescent="0.3">
      <c r="A57" s="26" t="s">
        <v>39</v>
      </c>
      <c r="B57" s="26" t="s">
        <v>551</v>
      </c>
      <c r="C57" s="27" t="s">
        <v>561</v>
      </c>
      <c r="D57" s="26" t="s">
        <v>562</v>
      </c>
      <c r="E57" s="21">
        <v>3</v>
      </c>
      <c r="F57" s="22" t="s">
        <v>563</v>
      </c>
      <c r="G57" s="22" t="s">
        <v>564</v>
      </c>
      <c r="H57" s="21" t="s">
        <v>294</v>
      </c>
      <c r="I57" s="21">
        <v>2025</v>
      </c>
      <c r="J57" s="22" t="s">
        <v>497</v>
      </c>
      <c r="K57" s="23" t="s">
        <v>565</v>
      </c>
      <c r="L57" s="23" t="s">
        <v>566</v>
      </c>
      <c r="M57" s="23" t="s">
        <v>567</v>
      </c>
      <c r="N57" s="23" t="s">
        <v>568</v>
      </c>
      <c r="O57" s="23" t="s">
        <v>569</v>
      </c>
    </row>
    <row r="58" spans="1:15" ht="75" customHeight="1" x14ac:dyDescent="0.3">
      <c r="A58" s="26" t="s">
        <v>39</v>
      </c>
      <c r="B58" s="26" t="s">
        <v>551</v>
      </c>
      <c r="C58" s="27" t="s">
        <v>570</v>
      </c>
      <c r="D58" s="26" t="s">
        <v>571</v>
      </c>
      <c r="E58" s="21">
        <v>3</v>
      </c>
      <c r="F58" s="22" t="s">
        <v>572</v>
      </c>
      <c r="G58" s="22" t="s">
        <v>573</v>
      </c>
      <c r="H58" s="21" t="s">
        <v>294</v>
      </c>
      <c r="I58" s="21">
        <v>2026</v>
      </c>
      <c r="J58" s="22" t="s">
        <v>574</v>
      </c>
      <c r="K58" s="23" t="s">
        <v>575</v>
      </c>
      <c r="L58" s="23" t="s">
        <v>576</v>
      </c>
      <c r="M58" s="23" t="s">
        <v>577</v>
      </c>
      <c r="N58" s="23" t="s">
        <v>578</v>
      </c>
      <c r="O58" s="23" t="s">
        <v>579</v>
      </c>
    </row>
    <row r="59" spans="1:15" ht="75" customHeight="1" x14ac:dyDescent="0.3">
      <c r="A59" s="26" t="s">
        <v>39</v>
      </c>
      <c r="B59" s="26" t="s">
        <v>551</v>
      </c>
      <c r="C59" s="27" t="s">
        <v>580</v>
      </c>
      <c r="D59" s="26" t="s">
        <v>581</v>
      </c>
      <c r="E59" s="21" t="s">
        <v>30</v>
      </c>
      <c r="F59" s="22" t="s">
        <v>31</v>
      </c>
      <c r="G59" s="22"/>
      <c r="H59" s="21"/>
      <c r="I59" s="21"/>
      <c r="J59" s="22"/>
      <c r="K59" s="23" t="s">
        <v>582</v>
      </c>
      <c r="L59" s="23" t="s">
        <v>583</v>
      </c>
      <c r="M59" s="23" t="s">
        <v>584</v>
      </c>
      <c r="N59" s="23" t="s">
        <v>585</v>
      </c>
      <c r="O59" s="23" t="s">
        <v>586</v>
      </c>
    </row>
    <row r="60" spans="1:15" ht="75" customHeight="1" x14ac:dyDescent="0.3">
      <c r="A60" s="26" t="s">
        <v>39</v>
      </c>
      <c r="B60" s="26" t="s">
        <v>551</v>
      </c>
      <c r="C60" s="27" t="s">
        <v>587</v>
      </c>
      <c r="D60" s="26" t="s">
        <v>588</v>
      </c>
      <c r="E60" s="21">
        <v>4</v>
      </c>
      <c r="F60" s="22" t="s">
        <v>589</v>
      </c>
      <c r="G60" s="22" t="s">
        <v>59</v>
      </c>
      <c r="H60" s="21" t="s">
        <v>590</v>
      </c>
      <c r="I60" s="21">
        <v>2025</v>
      </c>
      <c r="J60" s="22" t="s">
        <v>81</v>
      </c>
      <c r="K60" s="23" t="s">
        <v>591</v>
      </c>
      <c r="L60" s="23" t="s">
        <v>592</v>
      </c>
      <c r="M60" s="23" t="s">
        <v>593</v>
      </c>
      <c r="N60" s="23" t="s">
        <v>594</v>
      </c>
      <c r="O60" s="23" t="s">
        <v>595</v>
      </c>
    </row>
    <row r="61" spans="1:15" ht="75" customHeight="1" x14ac:dyDescent="0.3">
      <c r="A61" s="26" t="s">
        <v>39</v>
      </c>
      <c r="B61" s="26" t="s">
        <v>551</v>
      </c>
      <c r="C61" s="27" t="s">
        <v>596</v>
      </c>
      <c r="D61" s="26" t="s">
        <v>597</v>
      </c>
      <c r="E61" s="21">
        <v>4</v>
      </c>
      <c r="F61" s="22" t="s">
        <v>598</v>
      </c>
      <c r="G61" s="22" t="s">
        <v>59</v>
      </c>
      <c r="H61" s="21" t="s">
        <v>110</v>
      </c>
      <c r="I61" s="21">
        <v>2025</v>
      </c>
      <c r="J61" s="22" t="s">
        <v>599</v>
      </c>
      <c r="K61" s="23" t="s">
        <v>600</v>
      </c>
      <c r="L61" s="23" t="s">
        <v>601</v>
      </c>
      <c r="M61" s="23" t="s">
        <v>602</v>
      </c>
      <c r="N61" s="23" t="s">
        <v>603</v>
      </c>
      <c r="O61" s="23" t="s">
        <v>604</v>
      </c>
    </row>
    <row r="62" spans="1:15" ht="75" customHeight="1" x14ac:dyDescent="0.3">
      <c r="A62" s="26" t="s">
        <v>39</v>
      </c>
      <c r="B62" s="26" t="s">
        <v>551</v>
      </c>
      <c r="C62" s="27" t="s">
        <v>605</v>
      </c>
      <c r="D62" s="26" t="s">
        <v>606</v>
      </c>
      <c r="E62" s="21">
        <v>4</v>
      </c>
      <c r="F62" s="22" t="s">
        <v>607</v>
      </c>
      <c r="G62" s="22" t="s">
        <v>59</v>
      </c>
      <c r="H62" s="21" t="s">
        <v>608</v>
      </c>
      <c r="I62" s="21">
        <v>2025</v>
      </c>
      <c r="J62" s="22" t="s">
        <v>91</v>
      </c>
      <c r="K62" s="23" t="s">
        <v>609</v>
      </c>
      <c r="L62" s="23" t="s">
        <v>610</v>
      </c>
      <c r="M62" s="23" t="s">
        <v>611</v>
      </c>
      <c r="N62" s="23" t="s">
        <v>612</v>
      </c>
      <c r="O62" s="23" t="s">
        <v>613</v>
      </c>
    </row>
    <row r="63" spans="1:15" ht="75" customHeight="1" x14ac:dyDescent="0.3">
      <c r="A63" s="26" t="s">
        <v>39</v>
      </c>
      <c r="B63" s="26" t="s">
        <v>614</v>
      </c>
      <c r="C63" s="27" t="s">
        <v>615</v>
      </c>
      <c r="D63" s="26" t="s">
        <v>616</v>
      </c>
      <c r="E63" s="21" t="s">
        <v>30</v>
      </c>
      <c r="F63" s="22" t="s">
        <v>31</v>
      </c>
      <c r="G63" s="22"/>
      <c r="H63" s="21"/>
      <c r="I63" s="21"/>
      <c r="J63" s="22" t="s">
        <v>617</v>
      </c>
      <c r="K63" s="23" t="s">
        <v>618</v>
      </c>
      <c r="L63" s="23" t="s">
        <v>619</v>
      </c>
      <c r="M63" s="23" t="s">
        <v>620</v>
      </c>
      <c r="N63" s="23" t="s">
        <v>621</v>
      </c>
      <c r="O63" s="23" t="s">
        <v>622</v>
      </c>
    </row>
    <row r="64" spans="1:15" ht="75" customHeight="1" x14ac:dyDescent="0.3">
      <c r="A64" s="26" t="s">
        <v>39</v>
      </c>
      <c r="B64" s="26" t="s">
        <v>614</v>
      </c>
      <c r="C64" s="27" t="s">
        <v>623</v>
      </c>
      <c r="D64" s="26" t="s">
        <v>624</v>
      </c>
      <c r="E64" s="21">
        <v>4</v>
      </c>
      <c r="F64" s="22" t="s">
        <v>625</v>
      </c>
      <c r="G64" s="22" t="s">
        <v>59</v>
      </c>
      <c r="H64" s="21" t="s">
        <v>626</v>
      </c>
      <c r="I64" s="21">
        <v>2025</v>
      </c>
      <c r="J64" s="22" t="s">
        <v>91</v>
      </c>
      <c r="K64" s="23" t="s">
        <v>627</v>
      </c>
      <c r="L64" s="23" t="s">
        <v>628</v>
      </c>
      <c r="M64" s="23" t="s">
        <v>629</v>
      </c>
      <c r="N64" s="23" t="s">
        <v>630</v>
      </c>
      <c r="O64" s="23" t="s">
        <v>631</v>
      </c>
    </row>
    <row r="65" spans="1:15" ht="75" customHeight="1" x14ac:dyDescent="0.3">
      <c r="A65" s="26" t="s">
        <v>39</v>
      </c>
      <c r="B65" s="26" t="s">
        <v>614</v>
      </c>
      <c r="C65" s="27" t="s">
        <v>632</v>
      </c>
      <c r="D65" s="26" t="s">
        <v>633</v>
      </c>
      <c r="E65" s="21">
        <v>4</v>
      </c>
      <c r="F65" s="22" t="s">
        <v>634</v>
      </c>
      <c r="G65" s="22" t="s">
        <v>59</v>
      </c>
      <c r="H65" s="21" t="s">
        <v>635</v>
      </c>
      <c r="I65" s="21">
        <v>2025</v>
      </c>
      <c r="J65" s="22" t="s">
        <v>91</v>
      </c>
      <c r="K65" s="23" t="s">
        <v>636</v>
      </c>
      <c r="L65" s="23" t="s">
        <v>637</v>
      </c>
      <c r="M65" s="23" t="s">
        <v>638</v>
      </c>
      <c r="N65" s="23" t="s">
        <v>639</v>
      </c>
      <c r="O65" s="23" t="s">
        <v>640</v>
      </c>
    </row>
    <row r="66" spans="1:15" ht="75" customHeight="1" x14ac:dyDescent="0.3">
      <c r="A66" s="26" t="s">
        <v>39</v>
      </c>
      <c r="B66" s="26" t="s">
        <v>614</v>
      </c>
      <c r="C66" s="27" t="s">
        <v>641</v>
      </c>
      <c r="D66" s="26" t="s">
        <v>642</v>
      </c>
      <c r="E66" s="21">
        <v>2</v>
      </c>
      <c r="F66" s="34" t="s">
        <v>1310</v>
      </c>
      <c r="G66" s="22" t="s">
        <v>59</v>
      </c>
      <c r="H66" s="33" t="s">
        <v>769</v>
      </c>
      <c r="I66" s="21">
        <v>2025</v>
      </c>
      <c r="J66" s="34" t="s">
        <v>1311</v>
      </c>
      <c r="K66" s="23" t="s">
        <v>643</v>
      </c>
      <c r="L66" s="23" t="s">
        <v>644</v>
      </c>
      <c r="M66" s="23" t="s">
        <v>645</v>
      </c>
      <c r="N66" s="23" t="s">
        <v>646</v>
      </c>
      <c r="O66" s="23" t="s">
        <v>647</v>
      </c>
    </row>
    <row r="67" spans="1:15" ht="75" customHeight="1" x14ac:dyDescent="0.3">
      <c r="A67" s="26" t="s">
        <v>39</v>
      </c>
      <c r="B67" s="26" t="s">
        <v>648</v>
      </c>
      <c r="C67" s="27" t="s">
        <v>649</v>
      </c>
      <c r="D67" s="26" t="s">
        <v>650</v>
      </c>
      <c r="E67" s="21">
        <v>4</v>
      </c>
      <c r="F67" s="34" t="s">
        <v>651</v>
      </c>
      <c r="G67" s="22" t="s">
        <v>652</v>
      </c>
      <c r="H67" s="21" t="s">
        <v>653</v>
      </c>
      <c r="I67" s="21">
        <v>2025</v>
      </c>
      <c r="J67" s="22" t="s">
        <v>91</v>
      </c>
      <c r="K67" s="23" t="s">
        <v>654</v>
      </c>
      <c r="L67" s="23" t="s">
        <v>655</v>
      </c>
      <c r="M67" s="23" t="s">
        <v>656</v>
      </c>
      <c r="N67" s="23" t="s">
        <v>657</v>
      </c>
      <c r="O67" s="23" t="s">
        <v>658</v>
      </c>
    </row>
    <row r="68" spans="1:15" ht="75" customHeight="1" x14ac:dyDescent="0.3">
      <c r="A68" s="26" t="s">
        <v>39</v>
      </c>
      <c r="B68" s="26" t="s">
        <v>648</v>
      </c>
      <c r="C68" s="27" t="s">
        <v>659</v>
      </c>
      <c r="D68" s="26" t="s">
        <v>660</v>
      </c>
      <c r="E68" s="21">
        <v>3</v>
      </c>
      <c r="F68" s="22" t="s">
        <v>661</v>
      </c>
      <c r="G68" s="22" t="s">
        <v>59</v>
      </c>
      <c r="H68" s="21" t="s">
        <v>662</v>
      </c>
      <c r="I68" s="21">
        <v>2025</v>
      </c>
      <c r="J68" s="22" t="s">
        <v>81</v>
      </c>
      <c r="K68" s="23" t="s">
        <v>663</v>
      </c>
      <c r="L68" s="23" t="s">
        <v>664</v>
      </c>
      <c r="M68" s="23" t="s">
        <v>665</v>
      </c>
      <c r="N68" s="23" t="s">
        <v>666</v>
      </c>
      <c r="O68" s="23" t="s">
        <v>667</v>
      </c>
    </row>
    <row r="69" spans="1:15" ht="75" customHeight="1" x14ac:dyDescent="0.3">
      <c r="A69" s="26" t="s">
        <v>39</v>
      </c>
      <c r="B69" s="26" t="s">
        <v>648</v>
      </c>
      <c r="C69" s="27" t="s">
        <v>668</v>
      </c>
      <c r="D69" s="26" t="s">
        <v>669</v>
      </c>
      <c r="E69" s="21">
        <v>3</v>
      </c>
      <c r="F69" s="22" t="s">
        <v>670</v>
      </c>
      <c r="G69" s="22" t="s">
        <v>671</v>
      </c>
      <c r="H69" s="21" t="s">
        <v>294</v>
      </c>
      <c r="I69" s="21">
        <v>2026</v>
      </c>
      <c r="J69" s="22" t="s">
        <v>497</v>
      </c>
      <c r="K69" s="23" t="s">
        <v>672</v>
      </c>
      <c r="L69" s="23" t="s">
        <v>673</v>
      </c>
      <c r="M69" s="23" t="s">
        <v>674</v>
      </c>
      <c r="N69" s="23" t="s">
        <v>675</v>
      </c>
      <c r="O69" s="23" t="s">
        <v>676</v>
      </c>
    </row>
    <row r="70" spans="1:15" ht="75" customHeight="1" x14ac:dyDescent="0.3">
      <c r="A70" s="26" t="s">
        <v>39</v>
      </c>
      <c r="B70" s="26" t="s">
        <v>648</v>
      </c>
      <c r="C70" s="27" t="s">
        <v>677</v>
      </c>
      <c r="D70" s="26" t="s">
        <v>678</v>
      </c>
      <c r="E70" s="21" t="s">
        <v>30</v>
      </c>
      <c r="F70" s="22" t="s">
        <v>31</v>
      </c>
      <c r="G70" s="22"/>
      <c r="H70" s="21"/>
      <c r="I70" s="21"/>
      <c r="J70" s="22"/>
      <c r="K70" s="23" t="s">
        <v>679</v>
      </c>
      <c r="L70" s="23" t="s">
        <v>680</v>
      </c>
      <c r="M70" s="23" t="s">
        <v>681</v>
      </c>
      <c r="N70" s="23" t="s">
        <v>682</v>
      </c>
      <c r="O70" s="23" t="s">
        <v>683</v>
      </c>
    </row>
    <row r="71" spans="1:15" ht="75" customHeight="1" x14ac:dyDescent="0.3">
      <c r="A71" s="26" t="s">
        <v>39</v>
      </c>
      <c r="B71" s="26" t="s">
        <v>684</v>
      </c>
      <c r="C71" s="27" t="s">
        <v>685</v>
      </c>
      <c r="D71" s="26" t="s">
        <v>686</v>
      </c>
      <c r="E71" s="21">
        <v>3</v>
      </c>
      <c r="F71" s="22" t="s">
        <v>687</v>
      </c>
      <c r="G71" s="22" t="s">
        <v>59</v>
      </c>
      <c r="H71" s="21" t="s">
        <v>608</v>
      </c>
      <c r="I71" s="21">
        <v>2025</v>
      </c>
      <c r="J71" s="22" t="s">
        <v>688</v>
      </c>
      <c r="K71" s="23" t="s">
        <v>689</v>
      </c>
      <c r="L71" s="23" t="s">
        <v>690</v>
      </c>
      <c r="M71" s="23" t="s">
        <v>691</v>
      </c>
      <c r="N71" s="23" t="s">
        <v>692</v>
      </c>
      <c r="O71" s="23" t="s">
        <v>693</v>
      </c>
    </row>
    <row r="72" spans="1:15" ht="75" customHeight="1" x14ac:dyDescent="0.3">
      <c r="A72" s="26" t="s">
        <v>39</v>
      </c>
      <c r="B72" s="26" t="s">
        <v>684</v>
      </c>
      <c r="C72" s="27" t="s">
        <v>694</v>
      </c>
      <c r="D72" s="26" t="s">
        <v>695</v>
      </c>
      <c r="E72" s="21" t="s">
        <v>30</v>
      </c>
      <c r="F72" s="22" t="s">
        <v>31</v>
      </c>
      <c r="G72" s="22"/>
      <c r="H72" s="21"/>
      <c r="I72" s="21"/>
      <c r="J72" s="22"/>
      <c r="K72" s="23" t="s">
        <v>696</v>
      </c>
      <c r="L72" s="23" t="s">
        <v>697</v>
      </c>
      <c r="M72" s="23" t="s">
        <v>698</v>
      </c>
      <c r="N72" s="23" t="s">
        <v>699</v>
      </c>
      <c r="O72" s="23" t="s">
        <v>700</v>
      </c>
    </row>
    <row r="73" spans="1:15" ht="75" customHeight="1" x14ac:dyDescent="0.3">
      <c r="A73" s="26" t="s">
        <v>39</v>
      </c>
      <c r="B73" s="26" t="s">
        <v>684</v>
      </c>
      <c r="C73" s="27" t="s">
        <v>701</v>
      </c>
      <c r="D73" s="26" t="s">
        <v>702</v>
      </c>
      <c r="E73" s="21" t="s">
        <v>30</v>
      </c>
      <c r="F73" s="22" t="s">
        <v>31</v>
      </c>
      <c r="G73" s="22"/>
      <c r="H73" s="21"/>
      <c r="I73" s="21"/>
      <c r="J73" s="22"/>
      <c r="K73" s="23" t="s">
        <v>703</v>
      </c>
      <c r="L73" s="23" t="s">
        <v>704</v>
      </c>
      <c r="M73" s="23" t="s">
        <v>705</v>
      </c>
      <c r="N73" s="23" t="s">
        <v>706</v>
      </c>
      <c r="O73" s="23" t="s">
        <v>707</v>
      </c>
    </row>
    <row r="74" spans="1:15" ht="75" customHeight="1" x14ac:dyDescent="0.3">
      <c r="A74" s="26" t="s">
        <v>39</v>
      </c>
      <c r="B74" s="26" t="s">
        <v>684</v>
      </c>
      <c r="C74" s="27" t="s">
        <v>708</v>
      </c>
      <c r="D74" s="26" t="s">
        <v>709</v>
      </c>
      <c r="E74" s="21" t="s">
        <v>30</v>
      </c>
      <c r="F74" s="22" t="s">
        <v>31</v>
      </c>
      <c r="G74" s="22"/>
      <c r="H74" s="21"/>
      <c r="I74" s="21"/>
      <c r="J74" s="22"/>
      <c r="K74" s="23" t="s">
        <v>710</v>
      </c>
      <c r="L74" s="23" t="s">
        <v>711</v>
      </c>
      <c r="M74" s="23" t="s">
        <v>712</v>
      </c>
      <c r="N74" s="23" t="s">
        <v>713</v>
      </c>
      <c r="O74" s="23" t="s">
        <v>714</v>
      </c>
    </row>
    <row r="75" spans="1:15" ht="75" customHeight="1" x14ac:dyDescent="0.3">
      <c r="A75" s="26" t="s">
        <v>39</v>
      </c>
      <c r="B75" s="26" t="s">
        <v>684</v>
      </c>
      <c r="C75" s="27" t="s">
        <v>715</v>
      </c>
      <c r="D75" s="26" t="s">
        <v>716</v>
      </c>
      <c r="E75" s="21">
        <v>4</v>
      </c>
      <c r="F75" s="22" t="s">
        <v>717</v>
      </c>
      <c r="G75" s="22" t="s">
        <v>59</v>
      </c>
      <c r="H75" s="21" t="s">
        <v>608</v>
      </c>
      <c r="I75" s="21">
        <v>2025</v>
      </c>
      <c r="J75" s="22" t="s">
        <v>91</v>
      </c>
      <c r="K75" s="23" t="s">
        <v>718</v>
      </c>
      <c r="L75" s="23" t="s">
        <v>719</v>
      </c>
      <c r="M75" s="23" t="s">
        <v>720</v>
      </c>
      <c r="N75" s="23" t="s">
        <v>721</v>
      </c>
      <c r="O75" s="23" t="s">
        <v>722</v>
      </c>
    </row>
    <row r="76" spans="1:15" ht="75" customHeight="1" x14ac:dyDescent="0.3">
      <c r="A76" s="26" t="s">
        <v>39</v>
      </c>
      <c r="B76" s="26" t="s">
        <v>684</v>
      </c>
      <c r="C76" s="27" t="s">
        <v>723</v>
      </c>
      <c r="D76" s="26" t="s">
        <v>724</v>
      </c>
      <c r="E76" s="21">
        <v>3</v>
      </c>
      <c r="F76" s="22" t="s">
        <v>725</v>
      </c>
      <c r="G76" s="22" t="s">
        <v>573</v>
      </c>
      <c r="H76" s="21" t="s">
        <v>294</v>
      </c>
      <c r="I76" s="21">
        <v>2026</v>
      </c>
      <c r="J76" s="22" t="s">
        <v>574</v>
      </c>
      <c r="K76" s="23" t="s">
        <v>726</v>
      </c>
      <c r="L76" s="23" t="s">
        <v>727</v>
      </c>
      <c r="M76" s="23" t="s">
        <v>728</v>
      </c>
      <c r="N76" s="23" t="s">
        <v>729</v>
      </c>
      <c r="O76" s="23" t="s">
        <v>730</v>
      </c>
    </row>
    <row r="77" spans="1:15" ht="75" customHeight="1" x14ac:dyDescent="0.3">
      <c r="A77" s="26" t="s">
        <v>39</v>
      </c>
      <c r="B77" s="26" t="s">
        <v>684</v>
      </c>
      <c r="C77" s="27" t="s">
        <v>731</v>
      </c>
      <c r="D77" s="26" t="s">
        <v>732</v>
      </c>
      <c r="E77" s="21">
        <v>3</v>
      </c>
      <c r="F77" s="22" t="s">
        <v>733</v>
      </c>
      <c r="G77" s="22" t="s">
        <v>59</v>
      </c>
      <c r="H77" s="21" t="s">
        <v>734</v>
      </c>
      <c r="I77" s="21">
        <v>2025</v>
      </c>
      <c r="J77" s="22" t="s">
        <v>81</v>
      </c>
      <c r="K77" s="23" t="s">
        <v>735</v>
      </c>
      <c r="L77" s="23" t="s">
        <v>736</v>
      </c>
      <c r="M77" s="23" t="s">
        <v>737</v>
      </c>
      <c r="N77" s="23" t="s">
        <v>738</v>
      </c>
      <c r="O77" s="23" t="s">
        <v>739</v>
      </c>
    </row>
    <row r="78" spans="1:15" ht="75" customHeight="1" x14ac:dyDescent="0.3">
      <c r="A78" s="26" t="s">
        <v>39</v>
      </c>
      <c r="B78" s="26" t="s">
        <v>684</v>
      </c>
      <c r="C78" s="27" t="s">
        <v>740</v>
      </c>
      <c r="D78" s="26" t="s">
        <v>741</v>
      </c>
      <c r="E78" s="21" t="s">
        <v>30</v>
      </c>
      <c r="F78" s="22" t="s">
        <v>31</v>
      </c>
      <c r="G78" s="22"/>
      <c r="H78" s="21"/>
      <c r="I78" s="21"/>
      <c r="J78" s="22"/>
      <c r="K78" s="23" t="s">
        <v>742</v>
      </c>
      <c r="L78" s="23" t="s">
        <v>743</v>
      </c>
      <c r="M78" s="23" t="s">
        <v>744</v>
      </c>
      <c r="N78" s="23" t="s">
        <v>745</v>
      </c>
      <c r="O78" s="23" t="s">
        <v>746</v>
      </c>
    </row>
    <row r="79" spans="1:15" ht="75" customHeight="1" x14ac:dyDescent="0.3">
      <c r="A79" s="26" t="s">
        <v>39</v>
      </c>
      <c r="B79" s="26" t="s">
        <v>684</v>
      </c>
      <c r="C79" s="27" t="s">
        <v>747</v>
      </c>
      <c r="D79" s="26" t="s">
        <v>748</v>
      </c>
      <c r="E79" s="21">
        <v>4</v>
      </c>
      <c r="F79" s="22" t="s">
        <v>749</v>
      </c>
      <c r="G79" s="22" t="s">
        <v>59</v>
      </c>
      <c r="H79" s="21" t="s">
        <v>750</v>
      </c>
      <c r="I79" s="21">
        <v>2025</v>
      </c>
      <c r="J79" s="22" t="s">
        <v>91</v>
      </c>
      <c r="K79" s="23" t="s">
        <v>751</v>
      </c>
      <c r="L79" s="23" t="s">
        <v>752</v>
      </c>
      <c r="M79" s="23" t="s">
        <v>753</v>
      </c>
      <c r="N79" s="23" t="s">
        <v>754</v>
      </c>
      <c r="O79" s="23" t="s">
        <v>755</v>
      </c>
    </row>
    <row r="80" spans="1:15" ht="75" customHeight="1" x14ac:dyDescent="0.3">
      <c r="A80" s="28" t="s">
        <v>40</v>
      </c>
      <c r="B80" s="28" t="s">
        <v>756</v>
      </c>
      <c r="C80" s="29" t="s">
        <v>757</v>
      </c>
      <c r="D80" s="28" t="s">
        <v>758</v>
      </c>
      <c r="E80" s="21">
        <v>4</v>
      </c>
      <c r="F80" s="22" t="s">
        <v>759</v>
      </c>
      <c r="G80" s="22" t="s">
        <v>59</v>
      </c>
      <c r="H80" s="21" t="s">
        <v>760</v>
      </c>
      <c r="I80" s="21">
        <v>2025</v>
      </c>
      <c r="J80" s="22" t="s">
        <v>91</v>
      </c>
      <c r="K80" s="23" t="s">
        <v>761</v>
      </c>
      <c r="L80" s="23" t="s">
        <v>762</v>
      </c>
      <c r="M80" s="23" t="s">
        <v>763</v>
      </c>
      <c r="N80" s="23" t="s">
        <v>764</v>
      </c>
      <c r="O80" s="23" t="s">
        <v>765</v>
      </c>
    </row>
    <row r="81" spans="1:15" ht="75" customHeight="1" x14ac:dyDescent="0.3">
      <c r="A81" s="28" t="s">
        <v>40</v>
      </c>
      <c r="B81" s="28" t="s">
        <v>756</v>
      </c>
      <c r="C81" s="29" t="s">
        <v>766</v>
      </c>
      <c r="D81" s="28" t="s">
        <v>767</v>
      </c>
      <c r="E81" s="21">
        <v>4</v>
      </c>
      <c r="F81" s="22" t="s">
        <v>768</v>
      </c>
      <c r="G81" s="22" t="s">
        <v>59</v>
      </c>
      <c r="H81" s="21" t="s">
        <v>769</v>
      </c>
      <c r="I81" s="21">
        <v>2025</v>
      </c>
      <c r="J81" s="22" t="s">
        <v>91</v>
      </c>
      <c r="K81" s="23" t="s">
        <v>770</v>
      </c>
      <c r="L81" s="23" t="s">
        <v>771</v>
      </c>
      <c r="M81" s="23" t="s">
        <v>772</v>
      </c>
      <c r="N81" s="23" t="s">
        <v>773</v>
      </c>
      <c r="O81" s="23" t="s">
        <v>774</v>
      </c>
    </row>
    <row r="82" spans="1:15" ht="75" customHeight="1" x14ac:dyDescent="0.3">
      <c r="A82" s="28" t="s">
        <v>40</v>
      </c>
      <c r="B82" s="28" t="s">
        <v>756</v>
      </c>
      <c r="C82" s="29" t="s">
        <v>775</v>
      </c>
      <c r="D82" s="28" t="s">
        <v>776</v>
      </c>
      <c r="E82" s="21">
        <v>4</v>
      </c>
      <c r="F82" s="22" t="s">
        <v>777</v>
      </c>
      <c r="G82" s="22" t="s">
        <v>59</v>
      </c>
      <c r="H82" s="21" t="s">
        <v>778</v>
      </c>
      <c r="I82" s="21">
        <v>2025</v>
      </c>
      <c r="J82" s="22" t="s">
        <v>81</v>
      </c>
      <c r="K82" s="23" t="s">
        <v>779</v>
      </c>
      <c r="L82" s="23" t="s">
        <v>780</v>
      </c>
      <c r="M82" s="23" t="s">
        <v>781</v>
      </c>
      <c r="N82" s="23" t="s">
        <v>782</v>
      </c>
      <c r="O82" s="23" t="s">
        <v>783</v>
      </c>
    </row>
    <row r="83" spans="1:15" ht="75" customHeight="1" x14ac:dyDescent="0.3">
      <c r="A83" s="28" t="s">
        <v>40</v>
      </c>
      <c r="B83" s="28" t="s">
        <v>756</v>
      </c>
      <c r="C83" s="29" t="s">
        <v>784</v>
      </c>
      <c r="D83" s="28" t="s">
        <v>785</v>
      </c>
      <c r="E83" s="21">
        <v>3</v>
      </c>
      <c r="F83" s="22" t="s">
        <v>786</v>
      </c>
      <c r="G83" s="22" t="s">
        <v>59</v>
      </c>
      <c r="H83" s="21" t="s">
        <v>787</v>
      </c>
      <c r="I83" s="21">
        <v>2025</v>
      </c>
      <c r="J83" s="22" t="s">
        <v>81</v>
      </c>
      <c r="K83" s="23" t="s">
        <v>788</v>
      </c>
      <c r="L83" s="23" t="s">
        <v>789</v>
      </c>
      <c r="M83" s="23" t="s">
        <v>790</v>
      </c>
      <c r="N83" s="23" t="s">
        <v>791</v>
      </c>
      <c r="O83" s="23" t="s">
        <v>792</v>
      </c>
    </row>
    <row r="84" spans="1:15" ht="75" customHeight="1" x14ac:dyDescent="0.3">
      <c r="A84" s="28" t="s">
        <v>40</v>
      </c>
      <c r="B84" s="28" t="s">
        <v>793</v>
      </c>
      <c r="C84" s="29" t="s">
        <v>794</v>
      </c>
      <c r="D84" s="28" t="s">
        <v>795</v>
      </c>
      <c r="E84" s="21">
        <v>3</v>
      </c>
      <c r="F84" s="34" t="s">
        <v>1312</v>
      </c>
      <c r="G84" s="22" t="s">
        <v>59</v>
      </c>
      <c r="H84" s="33" t="s">
        <v>1313</v>
      </c>
      <c r="I84" s="21">
        <v>2025</v>
      </c>
      <c r="J84" s="22"/>
      <c r="K84" s="23" t="s">
        <v>796</v>
      </c>
      <c r="L84" s="23" t="s">
        <v>797</v>
      </c>
      <c r="M84" s="23" t="s">
        <v>798</v>
      </c>
      <c r="N84" s="23" t="s">
        <v>799</v>
      </c>
      <c r="O84" s="23" t="s">
        <v>800</v>
      </c>
    </row>
    <row r="85" spans="1:15" ht="75" customHeight="1" x14ac:dyDescent="0.3">
      <c r="A85" s="28" t="s">
        <v>40</v>
      </c>
      <c r="B85" s="28" t="s">
        <v>793</v>
      </c>
      <c r="C85" s="29" t="s">
        <v>801</v>
      </c>
      <c r="D85" s="28" t="s">
        <v>802</v>
      </c>
      <c r="E85" s="21">
        <v>3</v>
      </c>
      <c r="F85" s="22" t="s">
        <v>803</v>
      </c>
      <c r="G85" s="22" t="s">
        <v>496</v>
      </c>
      <c r="H85" s="21" t="s">
        <v>294</v>
      </c>
      <c r="I85" s="21">
        <v>2025</v>
      </c>
      <c r="J85" s="22" t="s">
        <v>81</v>
      </c>
      <c r="K85" s="23" t="s">
        <v>804</v>
      </c>
      <c r="L85" s="23" t="s">
        <v>805</v>
      </c>
      <c r="M85" s="23" t="s">
        <v>806</v>
      </c>
      <c r="N85" s="23" t="s">
        <v>807</v>
      </c>
      <c r="O85" s="23" t="s">
        <v>808</v>
      </c>
    </row>
    <row r="86" spans="1:15" ht="75" customHeight="1" x14ac:dyDescent="0.3">
      <c r="A86" s="28" t="s">
        <v>40</v>
      </c>
      <c r="B86" s="28" t="s">
        <v>793</v>
      </c>
      <c r="C86" s="29" t="s">
        <v>809</v>
      </c>
      <c r="D86" s="28" t="s">
        <v>810</v>
      </c>
      <c r="E86" s="21">
        <v>3</v>
      </c>
      <c r="F86" s="22" t="s">
        <v>811</v>
      </c>
      <c r="G86" s="22" t="s">
        <v>59</v>
      </c>
      <c r="H86" s="21" t="s">
        <v>812</v>
      </c>
      <c r="I86" s="21">
        <v>2025</v>
      </c>
      <c r="J86" s="22" t="s">
        <v>813</v>
      </c>
      <c r="K86" s="23" t="s">
        <v>814</v>
      </c>
      <c r="L86" s="23" t="s">
        <v>815</v>
      </c>
      <c r="M86" s="23" t="s">
        <v>816</v>
      </c>
      <c r="N86" s="23" t="s">
        <v>817</v>
      </c>
      <c r="O86" s="23" t="s">
        <v>818</v>
      </c>
    </row>
    <row r="87" spans="1:15" ht="75" customHeight="1" x14ac:dyDescent="0.3">
      <c r="A87" s="28" t="s">
        <v>40</v>
      </c>
      <c r="B87" s="28" t="s">
        <v>793</v>
      </c>
      <c r="C87" s="29" t="s">
        <v>819</v>
      </c>
      <c r="D87" s="28" t="s">
        <v>820</v>
      </c>
      <c r="E87" s="21">
        <v>4</v>
      </c>
      <c r="F87" s="22" t="s">
        <v>821</v>
      </c>
      <c r="G87" s="22" t="s">
        <v>652</v>
      </c>
      <c r="H87" s="21" t="s">
        <v>822</v>
      </c>
      <c r="I87" s="21">
        <v>2025</v>
      </c>
      <c r="J87" s="22" t="s">
        <v>91</v>
      </c>
      <c r="K87" s="23" t="s">
        <v>823</v>
      </c>
      <c r="L87" s="23" t="s">
        <v>824</v>
      </c>
      <c r="M87" s="23" t="s">
        <v>825</v>
      </c>
      <c r="N87" s="23" t="s">
        <v>826</v>
      </c>
      <c r="O87" s="23" t="s">
        <v>827</v>
      </c>
    </row>
    <row r="88" spans="1:15" ht="75" customHeight="1" x14ac:dyDescent="0.3">
      <c r="A88" s="28" t="s">
        <v>40</v>
      </c>
      <c r="B88" s="28" t="s">
        <v>793</v>
      </c>
      <c r="C88" s="29" t="s">
        <v>828</v>
      </c>
      <c r="D88" s="28" t="s">
        <v>829</v>
      </c>
      <c r="E88" s="21">
        <v>4</v>
      </c>
      <c r="F88" s="22" t="s">
        <v>830</v>
      </c>
      <c r="G88" s="22" t="s">
        <v>59</v>
      </c>
      <c r="H88" s="21" t="s">
        <v>831</v>
      </c>
      <c r="I88" s="21">
        <v>2025</v>
      </c>
      <c r="J88" s="22" t="s">
        <v>91</v>
      </c>
      <c r="K88" s="23" t="s">
        <v>832</v>
      </c>
      <c r="L88" s="23" t="s">
        <v>833</v>
      </c>
      <c r="M88" s="23" t="s">
        <v>834</v>
      </c>
      <c r="N88" s="23" t="s">
        <v>835</v>
      </c>
      <c r="O88" s="23" t="s">
        <v>836</v>
      </c>
    </row>
    <row r="89" spans="1:15" ht="75" customHeight="1" x14ac:dyDescent="0.3">
      <c r="A89" s="28" t="s">
        <v>40</v>
      </c>
      <c r="B89" s="28" t="s">
        <v>793</v>
      </c>
      <c r="C89" s="29" t="s">
        <v>837</v>
      </c>
      <c r="D89" s="28" t="s">
        <v>838</v>
      </c>
      <c r="E89" s="21">
        <v>4</v>
      </c>
      <c r="F89" s="22" t="s">
        <v>839</v>
      </c>
      <c r="G89" s="22" t="s">
        <v>59</v>
      </c>
      <c r="H89" s="21" t="s">
        <v>840</v>
      </c>
      <c r="I89" s="21">
        <v>2025</v>
      </c>
      <c r="J89" s="22" t="s">
        <v>91</v>
      </c>
      <c r="K89" s="23" t="s">
        <v>841</v>
      </c>
      <c r="L89" s="23" t="s">
        <v>842</v>
      </c>
      <c r="M89" s="23" t="s">
        <v>843</v>
      </c>
      <c r="N89" s="23" t="s">
        <v>844</v>
      </c>
      <c r="O89" s="23" t="s">
        <v>845</v>
      </c>
    </row>
    <row r="90" spans="1:15" ht="75" customHeight="1" x14ac:dyDescent="0.3">
      <c r="A90" s="28" t="s">
        <v>40</v>
      </c>
      <c r="B90" s="28" t="s">
        <v>846</v>
      </c>
      <c r="C90" s="29" t="s">
        <v>847</v>
      </c>
      <c r="D90" s="28" t="s">
        <v>848</v>
      </c>
      <c r="E90" s="21">
        <v>4</v>
      </c>
      <c r="F90" s="22" t="s">
        <v>849</v>
      </c>
      <c r="G90" s="22" t="s">
        <v>59</v>
      </c>
      <c r="H90" s="21" t="s">
        <v>850</v>
      </c>
      <c r="I90" s="21">
        <v>2025</v>
      </c>
      <c r="J90" s="22" t="s">
        <v>81</v>
      </c>
      <c r="K90" s="23" t="s">
        <v>851</v>
      </c>
      <c r="L90" s="23" t="s">
        <v>852</v>
      </c>
      <c r="M90" s="23" t="s">
        <v>853</v>
      </c>
      <c r="N90" s="23" t="s">
        <v>854</v>
      </c>
      <c r="O90" s="23" t="s">
        <v>855</v>
      </c>
    </row>
    <row r="91" spans="1:15" ht="75" customHeight="1" x14ac:dyDescent="0.3">
      <c r="A91" s="28" t="s">
        <v>40</v>
      </c>
      <c r="B91" s="28" t="s">
        <v>846</v>
      </c>
      <c r="C91" s="29" t="s">
        <v>856</v>
      </c>
      <c r="D91" s="28" t="s">
        <v>857</v>
      </c>
      <c r="E91" s="21">
        <v>3</v>
      </c>
      <c r="F91" s="22" t="s">
        <v>858</v>
      </c>
      <c r="G91" s="22" t="s">
        <v>59</v>
      </c>
      <c r="H91" s="21" t="s">
        <v>859</v>
      </c>
      <c r="I91" s="21">
        <v>2025</v>
      </c>
      <c r="J91" s="22" t="s">
        <v>860</v>
      </c>
      <c r="K91" s="23" t="s">
        <v>861</v>
      </c>
      <c r="L91" s="23" t="s">
        <v>862</v>
      </c>
      <c r="M91" s="23" t="s">
        <v>863</v>
      </c>
      <c r="N91" s="23" t="s">
        <v>864</v>
      </c>
      <c r="O91" s="23" t="s">
        <v>865</v>
      </c>
    </row>
    <row r="92" spans="1:15" ht="75" customHeight="1" x14ac:dyDescent="0.3">
      <c r="A92" s="28" t="s">
        <v>40</v>
      </c>
      <c r="B92" s="28" t="s">
        <v>846</v>
      </c>
      <c r="C92" s="29" t="s">
        <v>866</v>
      </c>
      <c r="D92" s="28" t="s">
        <v>867</v>
      </c>
      <c r="E92" s="21">
        <v>3</v>
      </c>
      <c r="F92" s="22" t="s">
        <v>868</v>
      </c>
      <c r="G92" s="22" t="s">
        <v>869</v>
      </c>
      <c r="H92" s="21" t="s">
        <v>859</v>
      </c>
      <c r="I92" s="21">
        <v>2025</v>
      </c>
      <c r="J92" s="22" t="s">
        <v>81</v>
      </c>
      <c r="K92" s="23" t="s">
        <v>870</v>
      </c>
      <c r="L92" s="23" t="s">
        <v>871</v>
      </c>
      <c r="M92" s="23" t="s">
        <v>872</v>
      </c>
      <c r="N92" s="23" t="s">
        <v>873</v>
      </c>
      <c r="O92" s="23" t="s">
        <v>874</v>
      </c>
    </row>
    <row r="93" spans="1:15" ht="75" customHeight="1" x14ac:dyDescent="0.3">
      <c r="A93" s="28" t="s">
        <v>40</v>
      </c>
      <c r="B93" s="28" t="s">
        <v>846</v>
      </c>
      <c r="C93" s="29" t="s">
        <v>875</v>
      </c>
      <c r="D93" s="28" t="s">
        <v>876</v>
      </c>
      <c r="E93" s="21">
        <v>3</v>
      </c>
      <c r="F93" s="22" t="s">
        <v>877</v>
      </c>
      <c r="G93" s="22" t="s">
        <v>573</v>
      </c>
      <c r="H93" s="21" t="s">
        <v>294</v>
      </c>
      <c r="I93" s="21">
        <v>2026</v>
      </c>
      <c r="J93" s="22" t="s">
        <v>574</v>
      </c>
      <c r="K93" s="23" t="s">
        <v>878</v>
      </c>
      <c r="L93" s="23" t="s">
        <v>879</v>
      </c>
      <c r="M93" s="23" t="s">
        <v>880</v>
      </c>
      <c r="N93" s="23" t="s">
        <v>881</v>
      </c>
      <c r="O93" s="23" t="s">
        <v>882</v>
      </c>
    </row>
    <row r="94" spans="1:15" ht="75" customHeight="1" x14ac:dyDescent="0.3">
      <c r="A94" s="28" t="s">
        <v>40</v>
      </c>
      <c r="B94" s="28" t="s">
        <v>883</v>
      </c>
      <c r="C94" s="29" t="s">
        <v>884</v>
      </c>
      <c r="D94" s="28" t="s">
        <v>885</v>
      </c>
      <c r="E94" s="21">
        <v>4</v>
      </c>
      <c r="F94" s="22" t="s">
        <v>886</v>
      </c>
      <c r="G94" s="22" t="s">
        <v>59</v>
      </c>
      <c r="H94" s="21" t="s">
        <v>608</v>
      </c>
      <c r="I94" s="21">
        <v>2025</v>
      </c>
      <c r="J94" s="22" t="s">
        <v>91</v>
      </c>
      <c r="K94" s="23" t="s">
        <v>887</v>
      </c>
      <c r="L94" s="23" t="s">
        <v>888</v>
      </c>
      <c r="M94" s="23" t="s">
        <v>889</v>
      </c>
      <c r="N94" s="23" t="s">
        <v>890</v>
      </c>
      <c r="O94" s="23" t="s">
        <v>891</v>
      </c>
    </row>
    <row r="95" spans="1:15" ht="75" customHeight="1" x14ac:dyDescent="0.3">
      <c r="A95" s="28" t="s">
        <v>40</v>
      </c>
      <c r="B95" s="28" t="s">
        <v>883</v>
      </c>
      <c r="C95" s="29" t="s">
        <v>892</v>
      </c>
      <c r="D95" s="28" t="s">
        <v>893</v>
      </c>
      <c r="E95" s="21" t="s">
        <v>30</v>
      </c>
      <c r="F95" s="22" t="s">
        <v>31</v>
      </c>
      <c r="G95" s="22"/>
      <c r="H95" s="21"/>
      <c r="I95" s="21"/>
      <c r="J95" s="22"/>
      <c r="K95" s="23" t="s">
        <v>894</v>
      </c>
      <c r="L95" s="23" t="s">
        <v>895</v>
      </c>
      <c r="M95" s="23" t="s">
        <v>896</v>
      </c>
      <c r="N95" s="23" t="s">
        <v>897</v>
      </c>
      <c r="O95" s="23" t="s">
        <v>898</v>
      </c>
    </row>
    <row r="96" spans="1:15" ht="75" customHeight="1" x14ac:dyDescent="0.3">
      <c r="A96" s="28" t="s">
        <v>40</v>
      </c>
      <c r="B96" s="28" t="s">
        <v>883</v>
      </c>
      <c r="C96" s="29" t="s">
        <v>899</v>
      </c>
      <c r="D96" s="28" t="s">
        <v>900</v>
      </c>
      <c r="E96" s="21" t="s">
        <v>30</v>
      </c>
      <c r="F96" s="22" t="s">
        <v>31</v>
      </c>
      <c r="G96" s="22"/>
      <c r="H96" s="21"/>
      <c r="I96" s="21"/>
      <c r="J96" s="22"/>
      <c r="K96" s="23" t="s">
        <v>901</v>
      </c>
      <c r="L96" s="23" t="s">
        <v>902</v>
      </c>
      <c r="M96" s="23" t="s">
        <v>903</v>
      </c>
      <c r="N96" s="23" t="s">
        <v>904</v>
      </c>
      <c r="O96" s="23" t="s">
        <v>905</v>
      </c>
    </row>
    <row r="97" spans="1:15" ht="75" customHeight="1" x14ac:dyDescent="0.3">
      <c r="A97" s="28" t="s">
        <v>40</v>
      </c>
      <c r="B97" s="28" t="s">
        <v>883</v>
      </c>
      <c r="C97" s="29" t="s">
        <v>906</v>
      </c>
      <c r="D97" s="28" t="s">
        <v>907</v>
      </c>
      <c r="E97" s="21">
        <v>4</v>
      </c>
      <c r="F97" s="22" t="s">
        <v>908</v>
      </c>
      <c r="G97" s="22" t="s">
        <v>59</v>
      </c>
      <c r="H97" s="21" t="s">
        <v>734</v>
      </c>
      <c r="I97" s="21">
        <v>2025</v>
      </c>
      <c r="J97" s="22" t="s">
        <v>91</v>
      </c>
      <c r="K97" s="23" t="s">
        <v>909</v>
      </c>
      <c r="L97" s="23" t="s">
        <v>910</v>
      </c>
      <c r="M97" s="23" t="s">
        <v>911</v>
      </c>
      <c r="N97" s="23" t="s">
        <v>912</v>
      </c>
      <c r="O97" s="23" t="s">
        <v>913</v>
      </c>
    </row>
    <row r="98" spans="1:15" ht="75" customHeight="1" x14ac:dyDescent="0.3">
      <c r="A98" s="28" t="s">
        <v>40</v>
      </c>
      <c r="B98" s="28" t="s">
        <v>883</v>
      </c>
      <c r="C98" s="29" t="s">
        <v>914</v>
      </c>
      <c r="D98" s="28" t="s">
        <v>915</v>
      </c>
      <c r="E98" s="21">
        <v>3</v>
      </c>
      <c r="F98" s="22" t="s">
        <v>916</v>
      </c>
      <c r="G98" s="22" t="s">
        <v>59</v>
      </c>
      <c r="H98" s="21" t="s">
        <v>917</v>
      </c>
      <c r="I98" s="21">
        <v>2025</v>
      </c>
      <c r="J98" s="22" t="s">
        <v>91</v>
      </c>
      <c r="K98" s="23" t="s">
        <v>918</v>
      </c>
      <c r="L98" s="23" t="s">
        <v>919</v>
      </c>
      <c r="M98" s="23" t="s">
        <v>920</v>
      </c>
      <c r="N98" s="23" t="s">
        <v>921</v>
      </c>
      <c r="O98" s="23" t="s">
        <v>922</v>
      </c>
    </row>
    <row r="99" spans="1:15" ht="75" customHeight="1" x14ac:dyDescent="0.3">
      <c r="A99" s="28" t="s">
        <v>40</v>
      </c>
      <c r="B99" s="28" t="s">
        <v>883</v>
      </c>
      <c r="C99" s="29" t="s">
        <v>923</v>
      </c>
      <c r="D99" s="28" t="s">
        <v>924</v>
      </c>
      <c r="E99" s="33" t="s">
        <v>30</v>
      </c>
      <c r="F99" s="22" t="s">
        <v>31</v>
      </c>
      <c r="G99" s="22"/>
      <c r="H99" s="21"/>
      <c r="I99" s="21"/>
      <c r="J99" s="22"/>
      <c r="K99" s="23" t="s">
        <v>925</v>
      </c>
      <c r="L99" s="23" t="s">
        <v>926</v>
      </c>
      <c r="M99" s="23" t="s">
        <v>927</v>
      </c>
      <c r="N99" s="23" t="s">
        <v>928</v>
      </c>
      <c r="O99" s="23" t="s">
        <v>929</v>
      </c>
    </row>
    <row r="100" spans="1:15" ht="75" customHeight="1" x14ac:dyDescent="0.3">
      <c r="A100" s="28" t="s">
        <v>40</v>
      </c>
      <c r="B100" s="28" t="s">
        <v>883</v>
      </c>
      <c r="C100" s="29" t="s">
        <v>930</v>
      </c>
      <c r="D100" s="28" t="s">
        <v>931</v>
      </c>
      <c r="E100" s="21">
        <v>4</v>
      </c>
      <c r="F100" s="22" t="s">
        <v>932</v>
      </c>
      <c r="G100" s="22" t="s">
        <v>59</v>
      </c>
      <c r="H100" s="21" t="s">
        <v>933</v>
      </c>
      <c r="I100" s="21">
        <v>2025</v>
      </c>
      <c r="J100" s="22" t="s">
        <v>934</v>
      </c>
      <c r="K100" s="23" t="s">
        <v>935</v>
      </c>
      <c r="L100" s="23" t="s">
        <v>936</v>
      </c>
      <c r="M100" s="23" t="s">
        <v>937</v>
      </c>
      <c r="N100" s="23" t="s">
        <v>938</v>
      </c>
      <c r="O100" s="23" t="s">
        <v>939</v>
      </c>
    </row>
    <row r="101" spans="1:15" ht="75" customHeight="1" x14ac:dyDescent="0.3">
      <c r="A101" s="28" t="s">
        <v>40</v>
      </c>
      <c r="B101" s="28" t="s">
        <v>883</v>
      </c>
      <c r="C101" s="29" t="s">
        <v>940</v>
      </c>
      <c r="D101" s="28" t="s">
        <v>941</v>
      </c>
      <c r="E101" s="21">
        <v>4</v>
      </c>
      <c r="F101" s="22" t="s">
        <v>942</v>
      </c>
      <c r="G101" s="22" t="s">
        <v>59</v>
      </c>
      <c r="H101" s="21" t="s">
        <v>608</v>
      </c>
      <c r="I101" s="21">
        <v>2025</v>
      </c>
      <c r="J101" s="22" t="s">
        <v>81</v>
      </c>
      <c r="K101" s="23" t="s">
        <v>943</v>
      </c>
      <c r="L101" s="23" t="s">
        <v>944</v>
      </c>
      <c r="M101" s="23" t="s">
        <v>945</v>
      </c>
      <c r="N101" s="23" t="s">
        <v>946</v>
      </c>
      <c r="O101" s="23" t="s">
        <v>947</v>
      </c>
    </row>
    <row r="102" spans="1:15" ht="75" customHeight="1" x14ac:dyDescent="0.3">
      <c r="A102" s="22" t="s">
        <v>41</v>
      </c>
      <c r="B102" s="22" t="s">
        <v>948</v>
      </c>
      <c r="C102" s="30" t="s">
        <v>949</v>
      </c>
      <c r="D102" s="22" t="s">
        <v>950</v>
      </c>
      <c r="E102" s="21">
        <v>3</v>
      </c>
      <c r="F102" s="22" t="s">
        <v>951</v>
      </c>
      <c r="G102" s="22" t="s">
        <v>952</v>
      </c>
      <c r="H102" s="21" t="s">
        <v>294</v>
      </c>
      <c r="I102" s="21">
        <v>2025</v>
      </c>
      <c r="J102" s="22" t="s">
        <v>497</v>
      </c>
      <c r="K102" s="23" t="s">
        <v>953</v>
      </c>
      <c r="L102" s="23" t="s">
        <v>954</v>
      </c>
      <c r="M102" s="23" t="s">
        <v>955</v>
      </c>
      <c r="N102" s="23" t="s">
        <v>956</v>
      </c>
      <c r="O102" s="23" t="s">
        <v>957</v>
      </c>
    </row>
    <row r="103" spans="1:15" ht="75" customHeight="1" x14ac:dyDescent="0.3">
      <c r="A103" s="22" t="s">
        <v>41</v>
      </c>
      <c r="B103" s="22" t="s">
        <v>948</v>
      </c>
      <c r="C103" s="30" t="s">
        <v>958</v>
      </c>
      <c r="D103" s="22" t="s">
        <v>959</v>
      </c>
      <c r="E103" s="21" t="s">
        <v>30</v>
      </c>
      <c r="F103" s="22" t="s">
        <v>31</v>
      </c>
      <c r="G103" s="22"/>
      <c r="H103" s="21"/>
      <c r="I103" s="21"/>
      <c r="J103" s="22"/>
      <c r="K103" s="23" t="s">
        <v>960</v>
      </c>
      <c r="L103" s="23" t="s">
        <v>961</v>
      </c>
      <c r="M103" s="23" t="s">
        <v>962</v>
      </c>
      <c r="N103" s="23" t="s">
        <v>963</v>
      </c>
      <c r="O103" s="23" t="s">
        <v>964</v>
      </c>
    </row>
    <row r="104" spans="1:15" ht="75" customHeight="1" x14ac:dyDescent="0.3">
      <c r="A104" s="22" t="s">
        <v>41</v>
      </c>
      <c r="B104" s="22" t="s">
        <v>948</v>
      </c>
      <c r="C104" s="30" t="s">
        <v>965</v>
      </c>
      <c r="D104" s="22" t="s">
        <v>966</v>
      </c>
      <c r="E104" s="21">
        <v>3</v>
      </c>
      <c r="F104" s="22" t="s">
        <v>967</v>
      </c>
      <c r="G104" s="22" t="s">
        <v>968</v>
      </c>
      <c r="H104" s="21" t="s">
        <v>294</v>
      </c>
      <c r="I104" s="21">
        <v>2025</v>
      </c>
      <c r="J104" s="22" t="s">
        <v>81</v>
      </c>
      <c r="K104" s="23" t="s">
        <v>969</v>
      </c>
      <c r="L104" s="23" t="s">
        <v>970</v>
      </c>
      <c r="M104" s="23" t="s">
        <v>971</v>
      </c>
      <c r="N104" s="23" t="s">
        <v>972</v>
      </c>
      <c r="O104" s="23" t="s">
        <v>973</v>
      </c>
    </row>
    <row r="105" spans="1:15" ht="75" customHeight="1" x14ac:dyDescent="0.3">
      <c r="A105" s="22" t="s">
        <v>41</v>
      </c>
      <c r="B105" s="22" t="s">
        <v>948</v>
      </c>
      <c r="C105" s="30" t="s">
        <v>974</v>
      </c>
      <c r="D105" s="22" t="s">
        <v>975</v>
      </c>
      <c r="E105" s="21">
        <v>3</v>
      </c>
      <c r="F105" s="22" t="s">
        <v>976</v>
      </c>
      <c r="G105" s="22" t="s">
        <v>59</v>
      </c>
      <c r="H105" s="21" t="s">
        <v>977</v>
      </c>
      <c r="I105" s="21">
        <v>2025</v>
      </c>
      <c r="J105" s="22" t="s">
        <v>81</v>
      </c>
      <c r="K105" s="23" t="s">
        <v>978</v>
      </c>
      <c r="L105" s="23" t="s">
        <v>979</v>
      </c>
      <c r="M105" s="23" t="s">
        <v>980</v>
      </c>
      <c r="N105" s="23" t="s">
        <v>981</v>
      </c>
      <c r="O105" s="23" t="s">
        <v>982</v>
      </c>
    </row>
    <row r="106" spans="1:15" ht="75" customHeight="1" x14ac:dyDescent="0.3">
      <c r="A106" s="22" t="s">
        <v>41</v>
      </c>
      <c r="B106" s="22" t="s">
        <v>948</v>
      </c>
      <c r="C106" s="30" t="s">
        <v>983</v>
      </c>
      <c r="D106" s="22" t="s">
        <v>984</v>
      </c>
      <c r="E106" s="21">
        <v>4</v>
      </c>
      <c r="F106" s="22" t="s">
        <v>985</v>
      </c>
      <c r="G106" s="22" t="s">
        <v>59</v>
      </c>
      <c r="H106" s="21" t="s">
        <v>986</v>
      </c>
      <c r="I106" s="21">
        <v>2025</v>
      </c>
      <c r="J106" s="22" t="s">
        <v>91</v>
      </c>
      <c r="K106" s="23" t="s">
        <v>987</v>
      </c>
      <c r="L106" s="23" t="s">
        <v>988</v>
      </c>
      <c r="M106" s="23" t="s">
        <v>989</v>
      </c>
      <c r="N106" s="23" t="s">
        <v>990</v>
      </c>
      <c r="O106" s="23" t="s">
        <v>991</v>
      </c>
    </row>
    <row r="107" spans="1:15" ht="75" customHeight="1" x14ac:dyDescent="0.3">
      <c r="A107" s="22" t="s">
        <v>41</v>
      </c>
      <c r="B107" s="22" t="s">
        <v>948</v>
      </c>
      <c r="C107" s="30" t="s">
        <v>992</v>
      </c>
      <c r="D107" s="22" t="s">
        <v>993</v>
      </c>
      <c r="E107" s="21">
        <v>3</v>
      </c>
      <c r="F107" s="22" t="s">
        <v>994</v>
      </c>
      <c r="G107" s="22" t="s">
        <v>59</v>
      </c>
      <c r="H107" s="21" t="s">
        <v>995</v>
      </c>
      <c r="I107" s="21">
        <v>2025</v>
      </c>
      <c r="J107" s="22" t="s">
        <v>81</v>
      </c>
      <c r="K107" s="23" t="s">
        <v>996</v>
      </c>
      <c r="L107" s="23" t="s">
        <v>997</v>
      </c>
      <c r="M107" s="23" t="s">
        <v>998</v>
      </c>
      <c r="N107" s="23" t="s">
        <v>999</v>
      </c>
      <c r="O107" s="23" t="s">
        <v>1000</v>
      </c>
    </row>
    <row r="108" spans="1:15" ht="75" customHeight="1" x14ac:dyDescent="0.3">
      <c r="A108" s="22" t="s">
        <v>41</v>
      </c>
      <c r="B108" s="22" t="s">
        <v>1001</v>
      </c>
      <c r="C108" s="30" t="s">
        <v>1002</v>
      </c>
      <c r="D108" s="22" t="s">
        <v>1003</v>
      </c>
      <c r="E108" s="21">
        <v>3</v>
      </c>
      <c r="F108" s="22" t="s">
        <v>1004</v>
      </c>
      <c r="G108" s="22" t="s">
        <v>59</v>
      </c>
      <c r="H108" s="21" t="s">
        <v>1005</v>
      </c>
      <c r="I108" s="21">
        <v>2025</v>
      </c>
      <c r="J108" s="22" t="s">
        <v>1006</v>
      </c>
      <c r="K108" s="23" t="s">
        <v>1007</v>
      </c>
      <c r="L108" s="23" t="s">
        <v>1008</v>
      </c>
      <c r="M108" s="23" t="s">
        <v>1009</v>
      </c>
      <c r="N108" s="23" t="s">
        <v>1010</v>
      </c>
      <c r="O108" s="23" t="s">
        <v>1011</v>
      </c>
    </row>
    <row r="109" spans="1:15" ht="75" customHeight="1" x14ac:dyDescent="0.3">
      <c r="A109" s="22" t="s">
        <v>41</v>
      </c>
      <c r="B109" s="22" t="s">
        <v>1001</v>
      </c>
      <c r="C109" s="30" t="s">
        <v>1012</v>
      </c>
      <c r="D109" s="22" t="s">
        <v>1013</v>
      </c>
      <c r="E109" s="21">
        <v>3</v>
      </c>
      <c r="F109" s="22" t="s">
        <v>1014</v>
      </c>
      <c r="G109" s="22" t="s">
        <v>1015</v>
      </c>
      <c r="H109" s="21" t="s">
        <v>294</v>
      </c>
      <c r="I109" s="21">
        <v>2025</v>
      </c>
      <c r="J109" s="22" t="s">
        <v>497</v>
      </c>
      <c r="K109" s="23" t="s">
        <v>1016</v>
      </c>
      <c r="L109" s="23" t="s">
        <v>1017</v>
      </c>
      <c r="M109" s="23" t="s">
        <v>1018</v>
      </c>
      <c r="N109" s="23" t="s">
        <v>1019</v>
      </c>
      <c r="O109" s="23" t="s">
        <v>1020</v>
      </c>
    </row>
    <row r="110" spans="1:15" ht="75" customHeight="1" x14ac:dyDescent="0.3">
      <c r="A110" s="22" t="s">
        <v>41</v>
      </c>
      <c r="B110" s="22" t="s">
        <v>1001</v>
      </c>
      <c r="C110" s="30" t="s">
        <v>1021</v>
      </c>
      <c r="D110" s="22" t="s">
        <v>1022</v>
      </c>
      <c r="E110" s="21">
        <v>3</v>
      </c>
      <c r="F110" s="22" t="s">
        <v>1023</v>
      </c>
      <c r="G110" s="22" t="s">
        <v>59</v>
      </c>
      <c r="H110" s="21" t="s">
        <v>977</v>
      </c>
      <c r="I110" s="21">
        <v>2025</v>
      </c>
      <c r="J110" s="22" t="s">
        <v>81</v>
      </c>
      <c r="K110" s="23" t="s">
        <v>1024</v>
      </c>
      <c r="L110" s="23" t="s">
        <v>1025</v>
      </c>
      <c r="M110" s="23" t="s">
        <v>1026</v>
      </c>
      <c r="N110" s="23" t="s">
        <v>1027</v>
      </c>
      <c r="O110" s="23" t="s">
        <v>1028</v>
      </c>
    </row>
    <row r="111" spans="1:15" ht="75" customHeight="1" x14ac:dyDescent="0.3">
      <c r="A111" s="22" t="s">
        <v>41</v>
      </c>
      <c r="B111" s="22" t="s">
        <v>1001</v>
      </c>
      <c r="C111" s="30" t="s">
        <v>1029</v>
      </c>
      <c r="D111" s="22" t="s">
        <v>1030</v>
      </c>
      <c r="E111" s="21">
        <v>4</v>
      </c>
      <c r="F111" s="22" t="s">
        <v>1031</v>
      </c>
      <c r="G111" s="22" t="s">
        <v>1032</v>
      </c>
      <c r="H111" s="21" t="s">
        <v>1033</v>
      </c>
      <c r="I111" s="21">
        <v>2025</v>
      </c>
      <c r="J111" s="22" t="s">
        <v>91</v>
      </c>
      <c r="K111" s="23" t="s">
        <v>1034</v>
      </c>
      <c r="L111" s="23" t="s">
        <v>1035</v>
      </c>
      <c r="M111" s="23" t="s">
        <v>1036</v>
      </c>
      <c r="N111" s="23" t="s">
        <v>1037</v>
      </c>
      <c r="O111" s="23" t="s">
        <v>1038</v>
      </c>
    </row>
    <row r="112" spans="1:15" ht="75" customHeight="1" x14ac:dyDescent="0.3">
      <c r="A112" s="22" t="s">
        <v>41</v>
      </c>
      <c r="B112" s="22" t="s">
        <v>1001</v>
      </c>
      <c r="C112" s="30" t="s">
        <v>1039</v>
      </c>
      <c r="D112" s="22" t="s">
        <v>1040</v>
      </c>
      <c r="E112" s="21">
        <v>3</v>
      </c>
      <c r="F112" s="22" t="s">
        <v>1041</v>
      </c>
      <c r="G112" s="22" t="s">
        <v>1042</v>
      </c>
      <c r="H112" s="21" t="s">
        <v>294</v>
      </c>
      <c r="I112" s="21">
        <v>2025</v>
      </c>
      <c r="J112" s="22" t="s">
        <v>81</v>
      </c>
      <c r="K112" s="23" t="s">
        <v>1043</v>
      </c>
      <c r="L112" s="23" t="s">
        <v>1044</v>
      </c>
      <c r="M112" s="23" t="s">
        <v>1045</v>
      </c>
      <c r="N112" s="23" t="s">
        <v>1046</v>
      </c>
      <c r="O112" s="23" t="s">
        <v>1047</v>
      </c>
    </row>
    <row r="113" spans="1:15" ht="75" customHeight="1" x14ac:dyDescent="0.3">
      <c r="A113" s="22" t="s">
        <v>41</v>
      </c>
      <c r="B113" s="22" t="s">
        <v>1001</v>
      </c>
      <c r="C113" s="30" t="s">
        <v>1048</v>
      </c>
      <c r="D113" s="22" t="s">
        <v>1049</v>
      </c>
      <c r="E113" s="21">
        <v>4</v>
      </c>
      <c r="F113" s="22" t="s">
        <v>1050</v>
      </c>
      <c r="G113" s="22" t="s">
        <v>59</v>
      </c>
      <c r="H113" s="21" t="s">
        <v>977</v>
      </c>
      <c r="I113" s="21">
        <v>2025</v>
      </c>
      <c r="J113" s="22" t="s">
        <v>91</v>
      </c>
      <c r="K113" s="23" t="s">
        <v>1051</v>
      </c>
      <c r="L113" s="23" t="s">
        <v>1052</v>
      </c>
      <c r="M113" s="23" t="s">
        <v>1053</v>
      </c>
      <c r="N113" s="23" t="s">
        <v>1054</v>
      </c>
      <c r="O113" s="23" t="s">
        <v>1055</v>
      </c>
    </row>
    <row r="114" spans="1:15" ht="75" customHeight="1" x14ac:dyDescent="0.3">
      <c r="A114" s="22" t="s">
        <v>41</v>
      </c>
      <c r="B114" s="22" t="s">
        <v>1001</v>
      </c>
      <c r="C114" s="30" t="s">
        <v>1056</v>
      </c>
      <c r="D114" s="22" t="s">
        <v>1057</v>
      </c>
      <c r="E114" s="21">
        <v>3</v>
      </c>
      <c r="F114" s="22" t="s">
        <v>1058</v>
      </c>
      <c r="G114" s="22" t="s">
        <v>59</v>
      </c>
      <c r="H114" s="21" t="s">
        <v>1059</v>
      </c>
      <c r="I114" s="21">
        <v>2025</v>
      </c>
      <c r="J114" s="22" t="s">
        <v>1060</v>
      </c>
      <c r="K114" s="23" t="s">
        <v>1061</v>
      </c>
      <c r="L114" s="23" t="s">
        <v>1062</v>
      </c>
      <c r="M114" s="23" t="s">
        <v>1063</v>
      </c>
      <c r="N114" s="23" t="s">
        <v>1064</v>
      </c>
      <c r="O114" s="23" t="s">
        <v>1065</v>
      </c>
    </row>
    <row r="115" spans="1:15" ht="75" customHeight="1" x14ac:dyDescent="0.3">
      <c r="A115" s="22" t="s">
        <v>41</v>
      </c>
      <c r="B115" s="22" t="s">
        <v>1001</v>
      </c>
      <c r="C115" s="30" t="s">
        <v>1066</v>
      </c>
      <c r="D115" s="22" t="s">
        <v>1067</v>
      </c>
      <c r="E115" s="21">
        <v>3</v>
      </c>
      <c r="F115" s="22" t="s">
        <v>1068</v>
      </c>
      <c r="G115" s="22" t="s">
        <v>1069</v>
      </c>
      <c r="H115" s="21" t="s">
        <v>294</v>
      </c>
      <c r="I115" s="21">
        <v>2024</v>
      </c>
      <c r="J115" s="22" t="s">
        <v>1070</v>
      </c>
      <c r="K115" s="23" t="s">
        <v>1071</v>
      </c>
      <c r="L115" s="23" t="s">
        <v>1072</v>
      </c>
      <c r="M115" s="23" t="s">
        <v>1073</v>
      </c>
      <c r="N115" s="23" t="s">
        <v>1074</v>
      </c>
      <c r="O115" s="23" t="s">
        <v>1075</v>
      </c>
    </row>
    <row r="116" spans="1:15" ht="75" customHeight="1" x14ac:dyDescent="0.3">
      <c r="A116" s="22" t="s">
        <v>41</v>
      </c>
      <c r="B116" s="22" t="s">
        <v>1076</v>
      </c>
      <c r="C116" s="30" t="s">
        <v>1077</v>
      </c>
      <c r="D116" s="22" t="s">
        <v>1078</v>
      </c>
      <c r="E116" s="21">
        <v>4</v>
      </c>
      <c r="F116" s="22" t="s">
        <v>1079</v>
      </c>
      <c r="G116" s="22" t="s">
        <v>1080</v>
      </c>
      <c r="H116" s="21" t="s">
        <v>294</v>
      </c>
      <c r="I116" s="21">
        <v>2024</v>
      </c>
      <c r="J116" s="22" t="s">
        <v>81</v>
      </c>
      <c r="K116" s="23" t="s">
        <v>1081</v>
      </c>
      <c r="L116" s="23" t="s">
        <v>1082</v>
      </c>
      <c r="M116" s="23" t="s">
        <v>1083</v>
      </c>
      <c r="N116" s="23" t="s">
        <v>1084</v>
      </c>
      <c r="O116" s="23" t="s">
        <v>1085</v>
      </c>
    </row>
    <row r="117" spans="1:15" ht="75" customHeight="1" x14ac:dyDescent="0.3">
      <c r="A117" s="22" t="s">
        <v>41</v>
      </c>
      <c r="B117" s="22" t="s">
        <v>1076</v>
      </c>
      <c r="C117" s="30" t="s">
        <v>1086</v>
      </c>
      <c r="D117" s="22" t="s">
        <v>1087</v>
      </c>
      <c r="E117" s="21">
        <v>4</v>
      </c>
      <c r="F117" s="22" t="s">
        <v>1088</v>
      </c>
      <c r="G117" s="22" t="s">
        <v>1089</v>
      </c>
      <c r="H117" s="21" t="s">
        <v>294</v>
      </c>
      <c r="I117" s="21">
        <v>2025</v>
      </c>
      <c r="J117" s="22" t="s">
        <v>81</v>
      </c>
      <c r="K117" s="23" t="s">
        <v>1090</v>
      </c>
      <c r="L117" s="23" t="s">
        <v>1091</v>
      </c>
      <c r="M117" s="23" t="s">
        <v>1092</v>
      </c>
      <c r="N117" s="23" t="s">
        <v>1093</v>
      </c>
      <c r="O117" s="23" t="s">
        <v>1094</v>
      </c>
    </row>
    <row r="118" spans="1:15" ht="75" customHeight="1" x14ac:dyDescent="0.3">
      <c r="A118" s="22" t="s">
        <v>41</v>
      </c>
      <c r="B118" s="22" t="s">
        <v>1076</v>
      </c>
      <c r="C118" s="30" t="s">
        <v>1095</v>
      </c>
      <c r="D118" s="22" t="s">
        <v>1096</v>
      </c>
      <c r="E118" s="21">
        <v>4</v>
      </c>
      <c r="F118" s="22" t="s">
        <v>1097</v>
      </c>
      <c r="G118" s="34" t="s">
        <v>59</v>
      </c>
      <c r="H118" s="21" t="s">
        <v>1098</v>
      </c>
      <c r="I118" s="21">
        <v>2025</v>
      </c>
      <c r="J118" s="22" t="s">
        <v>91</v>
      </c>
      <c r="K118" s="23" t="s">
        <v>1099</v>
      </c>
      <c r="L118" s="23" t="s">
        <v>1100</v>
      </c>
      <c r="M118" s="23" t="s">
        <v>1101</v>
      </c>
      <c r="N118" s="23" t="s">
        <v>1102</v>
      </c>
      <c r="O118" s="23" t="s">
        <v>1103</v>
      </c>
    </row>
    <row r="119" spans="1:15" ht="75" customHeight="1" x14ac:dyDescent="0.3">
      <c r="A119" s="22" t="s">
        <v>41</v>
      </c>
      <c r="B119" s="22" t="s">
        <v>1076</v>
      </c>
      <c r="C119" s="30" t="s">
        <v>1104</v>
      </c>
      <c r="D119" s="22" t="s">
        <v>1105</v>
      </c>
      <c r="E119" s="21">
        <v>3</v>
      </c>
      <c r="F119" s="22" t="s">
        <v>1106</v>
      </c>
      <c r="G119" s="22" t="s">
        <v>1089</v>
      </c>
      <c r="H119" s="21" t="s">
        <v>294</v>
      </c>
      <c r="I119" s="21">
        <v>2025</v>
      </c>
      <c r="J119" s="22" t="s">
        <v>497</v>
      </c>
      <c r="K119" s="23" t="s">
        <v>1107</v>
      </c>
      <c r="L119" s="23" t="s">
        <v>1108</v>
      </c>
      <c r="M119" s="23" t="s">
        <v>1109</v>
      </c>
      <c r="N119" s="23" t="s">
        <v>1110</v>
      </c>
      <c r="O119" s="23" t="s">
        <v>1111</v>
      </c>
    </row>
    <row r="120" spans="1:15" ht="75" customHeight="1" x14ac:dyDescent="0.3">
      <c r="A120" s="22" t="s">
        <v>41</v>
      </c>
      <c r="B120" s="22" t="s">
        <v>1076</v>
      </c>
      <c r="C120" s="30" t="s">
        <v>1112</v>
      </c>
      <c r="D120" s="22" t="s">
        <v>1113</v>
      </c>
      <c r="E120" s="21">
        <v>3</v>
      </c>
      <c r="F120" s="34" t="s">
        <v>1314</v>
      </c>
      <c r="G120" s="34" t="s">
        <v>1315</v>
      </c>
      <c r="H120" s="33" t="s">
        <v>1316</v>
      </c>
      <c r="I120" s="21">
        <v>2025</v>
      </c>
      <c r="J120" s="22"/>
      <c r="K120" s="23" t="s">
        <v>1114</v>
      </c>
      <c r="L120" s="23" t="s">
        <v>1115</v>
      </c>
      <c r="M120" s="23" t="s">
        <v>1116</v>
      </c>
      <c r="N120" s="23" t="s">
        <v>1117</v>
      </c>
      <c r="O120" s="23" t="s">
        <v>1118</v>
      </c>
    </row>
    <row r="121" spans="1:15" ht="75" customHeight="1" x14ac:dyDescent="0.3">
      <c r="A121" s="22" t="s">
        <v>41</v>
      </c>
      <c r="B121" s="22" t="s">
        <v>1076</v>
      </c>
      <c r="C121" s="30" t="s">
        <v>1119</v>
      </c>
      <c r="D121" s="22" t="s">
        <v>1120</v>
      </c>
      <c r="E121" s="21">
        <v>3</v>
      </c>
      <c r="F121" s="22" t="s">
        <v>1121</v>
      </c>
      <c r="G121" s="22" t="s">
        <v>1122</v>
      </c>
      <c r="H121" s="21" t="s">
        <v>294</v>
      </c>
      <c r="I121" s="21">
        <v>2025</v>
      </c>
      <c r="J121" s="22" t="s">
        <v>497</v>
      </c>
      <c r="K121" s="23" t="s">
        <v>1123</v>
      </c>
      <c r="L121" s="23" t="s">
        <v>1124</v>
      </c>
      <c r="M121" s="23" t="s">
        <v>1125</v>
      </c>
      <c r="N121" s="23" t="s">
        <v>1126</v>
      </c>
      <c r="O121" s="23" t="s">
        <v>1127</v>
      </c>
    </row>
    <row r="122" spans="1:15" ht="75" customHeight="1" x14ac:dyDescent="0.3">
      <c r="A122" s="22" t="s">
        <v>41</v>
      </c>
      <c r="B122" s="22" t="s">
        <v>1076</v>
      </c>
      <c r="C122" s="30" t="s">
        <v>1128</v>
      </c>
      <c r="D122" s="22" t="s">
        <v>1129</v>
      </c>
      <c r="E122" s="21" t="s">
        <v>30</v>
      </c>
      <c r="F122" s="22" t="s">
        <v>31</v>
      </c>
      <c r="G122" s="22"/>
      <c r="H122" s="21"/>
      <c r="I122" s="21"/>
      <c r="J122" s="22"/>
      <c r="K122" s="23" t="s">
        <v>1130</v>
      </c>
      <c r="L122" s="23" t="s">
        <v>1131</v>
      </c>
      <c r="M122" s="23" t="s">
        <v>1132</v>
      </c>
      <c r="N122" s="23" t="s">
        <v>1133</v>
      </c>
      <c r="O122" s="23" t="s">
        <v>1134</v>
      </c>
    </row>
    <row r="123" spans="1:15" ht="75" customHeight="1" x14ac:dyDescent="0.3">
      <c r="A123" s="22" t="s">
        <v>41</v>
      </c>
      <c r="B123" s="22" t="s">
        <v>1076</v>
      </c>
      <c r="C123" s="30" t="s">
        <v>1135</v>
      </c>
      <c r="D123" s="22" t="s">
        <v>1136</v>
      </c>
      <c r="E123" s="21">
        <v>3</v>
      </c>
      <c r="F123" s="34" t="s">
        <v>1317</v>
      </c>
      <c r="G123" s="22" t="s">
        <v>59</v>
      </c>
      <c r="H123" s="33" t="s">
        <v>1318</v>
      </c>
      <c r="I123" s="21">
        <v>2025</v>
      </c>
      <c r="J123" s="22"/>
      <c r="K123" s="23" t="s">
        <v>1137</v>
      </c>
      <c r="L123" s="23" t="s">
        <v>1138</v>
      </c>
      <c r="M123" s="23" t="s">
        <v>1139</v>
      </c>
      <c r="N123" s="23" t="s">
        <v>1140</v>
      </c>
      <c r="O123" s="23" t="s">
        <v>1141</v>
      </c>
    </row>
    <row r="124" spans="1:15" ht="75" customHeight="1" x14ac:dyDescent="0.3">
      <c r="A124" s="31" t="s">
        <v>42</v>
      </c>
      <c r="B124" s="31" t="s">
        <v>1142</v>
      </c>
      <c r="C124" s="32" t="s">
        <v>1143</v>
      </c>
      <c r="D124" s="31" t="s">
        <v>1144</v>
      </c>
      <c r="E124" s="33" t="s">
        <v>30</v>
      </c>
      <c r="F124" s="22" t="s">
        <v>31</v>
      </c>
      <c r="G124" s="22"/>
      <c r="H124" s="21"/>
      <c r="I124" s="21"/>
      <c r="J124" s="22"/>
      <c r="K124" s="23" t="s">
        <v>1145</v>
      </c>
      <c r="L124" s="23" t="s">
        <v>1146</v>
      </c>
      <c r="M124" s="23" t="s">
        <v>1147</v>
      </c>
      <c r="N124" s="23" t="s">
        <v>1148</v>
      </c>
      <c r="O124" s="23" t="s">
        <v>1149</v>
      </c>
    </row>
    <row r="125" spans="1:15" ht="75" customHeight="1" x14ac:dyDescent="0.3">
      <c r="A125" s="31" t="s">
        <v>42</v>
      </c>
      <c r="B125" s="31" t="s">
        <v>1142</v>
      </c>
      <c r="C125" s="32" t="s">
        <v>1150</v>
      </c>
      <c r="D125" s="31" t="s">
        <v>1151</v>
      </c>
      <c r="E125" s="21">
        <v>3</v>
      </c>
      <c r="F125" s="22" t="s">
        <v>1152</v>
      </c>
      <c r="G125" s="22" t="s">
        <v>59</v>
      </c>
      <c r="H125" s="21" t="s">
        <v>1153</v>
      </c>
      <c r="I125" s="21">
        <v>2025</v>
      </c>
      <c r="J125" s="22" t="s">
        <v>81</v>
      </c>
      <c r="K125" s="23" t="s">
        <v>1154</v>
      </c>
      <c r="L125" s="23" t="s">
        <v>1155</v>
      </c>
      <c r="M125" s="23" t="s">
        <v>1156</v>
      </c>
      <c r="N125" s="23" t="s">
        <v>1157</v>
      </c>
      <c r="O125" s="23" t="s">
        <v>1158</v>
      </c>
    </row>
    <row r="126" spans="1:15" ht="75" customHeight="1" x14ac:dyDescent="0.3">
      <c r="A126" s="31" t="s">
        <v>42</v>
      </c>
      <c r="B126" s="31" t="s">
        <v>1142</v>
      </c>
      <c r="C126" s="32" t="s">
        <v>1159</v>
      </c>
      <c r="D126" s="31" t="s">
        <v>1160</v>
      </c>
      <c r="E126" s="21" t="s">
        <v>30</v>
      </c>
      <c r="F126" s="22" t="s">
        <v>31</v>
      </c>
      <c r="G126" s="22"/>
      <c r="H126" s="21"/>
      <c r="I126" s="21"/>
      <c r="J126" s="22"/>
      <c r="K126" s="23" t="s">
        <v>1161</v>
      </c>
      <c r="L126" s="23" t="s">
        <v>1162</v>
      </c>
      <c r="M126" s="23" t="s">
        <v>1163</v>
      </c>
      <c r="N126" s="23" t="s">
        <v>1164</v>
      </c>
      <c r="O126" s="23" t="s">
        <v>1165</v>
      </c>
    </row>
    <row r="127" spans="1:15" ht="75" customHeight="1" x14ac:dyDescent="0.3">
      <c r="A127" s="31" t="s">
        <v>42</v>
      </c>
      <c r="B127" s="31" t="s">
        <v>1142</v>
      </c>
      <c r="C127" s="32" t="s">
        <v>1166</v>
      </c>
      <c r="D127" s="31" t="s">
        <v>1167</v>
      </c>
      <c r="E127" s="21">
        <v>4</v>
      </c>
      <c r="F127" s="22" t="s">
        <v>1168</v>
      </c>
      <c r="G127" s="22" t="s">
        <v>59</v>
      </c>
      <c r="H127" s="21" t="s">
        <v>1169</v>
      </c>
      <c r="I127" s="21">
        <v>2025</v>
      </c>
      <c r="J127" s="22" t="s">
        <v>91</v>
      </c>
      <c r="K127" s="23" t="s">
        <v>1170</v>
      </c>
      <c r="L127" s="23" t="s">
        <v>1171</v>
      </c>
      <c r="M127" s="23" t="s">
        <v>1172</v>
      </c>
      <c r="N127" s="23" t="s">
        <v>1173</v>
      </c>
      <c r="O127" s="23" t="s">
        <v>1174</v>
      </c>
    </row>
    <row r="128" spans="1:15" ht="75" customHeight="1" x14ac:dyDescent="0.3">
      <c r="A128" s="31" t="s">
        <v>42</v>
      </c>
      <c r="B128" s="31" t="s">
        <v>1142</v>
      </c>
      <c r="C128" s="32" t="s">
        <v>1175</v>
      </c>
      <c r="D128" s="31" t="s">
        <v>1176</v>
      </c>
      <c r="E128" s="21">
        <v>4</v>
      </c>
      <c r="F128" s="22" t="s">
        <v>1177</v>
      </c>
      <c r="G128" s="22" t="s">
        <v>59</v>
      </c>
      <c r="H128" s="21" t="s">
        <v>1169</v>
      </c>
      <c r="I128" s="21">
        <v>2025</v>
      </c>
      <c r="J128" s="22" t="s">
        <v>91</v>
      </c>
      <c r="K128" s="23" t="s">
        <v>1178</v>
      </c>
      <c r="L128" s="23" t="s">
        <v>1179</v>
      </c>
      <c r="M128" s="23" t="s">
        <v>1180</v>
      </c>
      <c r="N128" s="23" t="s">
        <v>1181</v>
      </c>
      <c r="O128" s="23" t="s">
        <v>1182</v>
      </c>
    </row>
    <row r="129" spans="1:15" ht="75" customHeight="1" x14ac:dyDescent="0.3">
      <c r="A129" s="31" t="s">
        <v>42</v>
      </c>
      <c r="B129" s="31" t="s">
        <v>1142</v>
      </c>
      <c r="C129" s="32" t="s">
        <v>1183</v>
      </c>
      <c r="D129" s="31" t="s">
        <v>1184</v>
      </c>
      <c r="E129" s="21">
        <v>4</v>
      </c>
      <c r="F129" s="22" t="s">
        <v>1185</v>
      </c>
      <c r="G129" s="22" t="s">
        <v>59</v>
      </c>
      <c r="H129" s="21" t="s">
        <v>1186</v>
      </c>
      <c r="I129" s="21">
        <v>2025</v>
      </c>
      <c r="J129" s="22" t="s">
        <v>91</v>
      </c>
      <c r="K129" s="23" t="s">
        <v>1187</v>
      </c>
      <c r="L129" s="23" t="s">
        <v>1188</v>
      </c>
      <c r="M129" s="23" t="s">
        <v>1189</v>
      </c>
      <c r="N129" s="23" t="s">
        <v>1190</v>
      </c>
      <c r="O129" s="23" t="s">
        <v>1191</v>
      </c>
    </row>
    <row r="130" spans="1:15" ht="75" customHeight="1" x14ac:dyDescent="0.3">
      <c r="A130" s="31" t="s">
        <v>42</v>
      </c>
      <c r="B130" s="31" t="s">
        <v>1142</v>
      </c>
      <c r="C130" s="32" t="s">
        <v>1192</v>
      </c>
      <c r="D130" s="31" t="s">
        <v>1193</v>
      </c>
      <c r="E130" s="21">
        <v>4</v>
      </c>
      <c r="F130" s="22" t="s">
        <v>1194</v>
      </c>
      <c r="G130" s="22" t="s">
        <v>59</v>
      </c>
      <c r="H130" s="21" t="s">
        <v>230</v>
      </c>
      <c r="I130" s="21">
        <v>2025</v>
      </c>
      <c r="J130" s="22" t="s">
        <v>91</v>
      </c>
      <c r="K130" s="23" t="s">
        <v>1195</v>
      </c>
      <c r="L130" s="23" t="s">
        <v>1196</v>
      </c>
      <c r="M130" s="23" t="s">
        <v>1197</v>
      </c>
      <c r="N130" s="23" t="s">
        <v>1198</v>
      </c>
      <c r="O130" s="23" t="s">
        <v>1199</v>
      </c>
    </row>
    <row r="131" spans="1:15" ht="75" customHeight="1" x14ac:dyDescent="0.3">
      <c r="A131" s="31" t="s">
        <v>42</v>
      </c>
      <c r="B131" s="31" t="s">
        <v>1142</v>
      </c>
      <c r="C131" s="32" t="s">
        <v>1200</v>
      </c>
      <c r="D131" s="31" t="s">
        <v>1201</v>
      </c>
      <c r="E131" s="21">
        <v>3</v>
      </c>
      <c r="F131" s="22" t="s">
        <v>1202</v>
      </c>
      <c r="G131" s="22" t="s">
        <v>59</v>
      </c>
      <c r="H131" s="21" t="s">
        <v>267</v>
      </c>
      <c r="I131" s="21">
        <v>2025</v>
      </c>
      <c r="J131" s="22" t="s">
        <v>81</v>
      </c>
      <c r="K131" s="23" t="s">
        <v>1203</v>
      </c>
      <c r="L131" s="23" t="s">
        <v>1204</v>
      </c>
      <c r="M131" s="23" t="s">
        <v>1205</v>
      </c>
      <c r="N131" s="23" t="s">
        <v>1206</v>
      </c>
      <c r="O131" s="23" t="s">
        <v>1207</v>
      </c>
    </row>
    <row r="132" spans="1:15" ht="75" customHeight="1" x14ac:dyDescent="0.3">
      <c r="A132" s="31" t="s">
        <v>42</v>
      </c>
      <c r="B132" s="31" t="s">
        <v>1208</v>
      </c>
      <c r="C132" s="32" t="s">
        <v>1209</v>
      </c>
      <c r="D132" s="31" t="s">
        <v>1210</v>
      </c>
      <c r="E132" s="21">
        <v>3</v>
      </c>
      <c r="F132" s="22" t="s">
        <v>1211</v>
      </c>
      <c r="G132" s="22" t="s">
        <v>1212</v>
      </c>
      <c r="H132" s="21" t="s">
        <v>294</v>
      </c>
      <c r="I132" s="21">
        <v>2026</v>
      </c>
      <c r="J132" s="22" t="s">
        <v>497</v>
      </c>
      <c r="K132" s="23" t="s">
        <v>1213</v>
      </c>
      <c r="L132" s="23" t="s">
        <v>1214</v>
      </c>
      <c r="M132" s="23" t="s">
        <v>1215</v>
      </c>
      <c r="N132" s="23" t="s">
        <v>1216</v>
      </c>
      <c r="O132" s="23" t="s">
        <v>1217</v>
      </c>
    </row>
    <row r="133" spans="1:15" ht="75" customHeight="1" x14ac:dyDescent="0.3">
      <c r="A133" s="31" t="s">
        <v>42</v>
      </c>
      <c r="B133" s="31" t="s">
        <v>1208</v>
      </c>
      <c r="C133" s="32" t="s">
        <v>1218</v>
      </c>
      <c r="D133" s="31" t="s">
        <v>1219</v>
      </c>
      <c r="E133" s="21" t="s">
        <v>30</v>
      </c>
      <c r="F133" s="22" t="s">
        <v>31</v>
      </c>
      <c r="G133" s="22"/>
      <c r="H133" s="21"/>
      <c r="I133" s="21"/>
      <c r="J133" s="22"/>
      <c r="K133" s="23" t="s">
        <v>1220</v>
      </c>
      <c r="L133" s="23" t="s">
        <v>1221</v>
      </c>
      <c r="M133" s="23" t="s">
        <v>1222</v>
      </c>
      <c r="N133" s="23" t="s">
        <v>1223</v>
      </c>
      <c r="O133" s="23" t="s">
        <v>1224</v>
      </c>
    </row>
    <row r="134" spans="1:15" ht="75" customHeight="1" x14ac:dyDescent="0.3">
      <c r="A134" s="31" t="s">
        <v>42</v>
      </c>
      <c r="B134" s="31" t="s">
        <v>1208</v>
      </c>
      <c r="C134" s="32" t="s">
        <v>1225</v>
      </c>
      <c r="D134" s="31" t="s">
        <v>1226</v>
      </c>
      <c r="E134" s="21">
        <v>3</v>
      </c>
      <c r="F134" s="22" t="s">
        <v>1227</v>
      </c>
      <c r="G134" s="22" t="s">
        <v>1212</v>
      </c>
      <c r="H134" s="21" t="s">
        <v>294</v>
      </c>
      <c r="I134" s="21">
        <v>2026</v>
      </c>
      <c r="J134" s="22" t="s">
        <v>497</v>
      </c>
      <c r="K134" s="23" t="s">
        <v>1228</v>
      </c>
      <c r="L134" s="23" t="s">
        <v>1229</v>
      </c>
      <c r="M134" s="23" t="s">
        <v>1230</v>
      </c>
      <c r="N134" s="23" t="s">
        <v>1231</v>
      </c>
      <c r="O134" s="23" t="s">
        <v>1232</v>
      </c>
    </row>
    <row r="135" spans="1:15" ht="75" customHeight="1" x14ac:dyDescent="0.3">
      <c r="A135" s="31" t="s">
        <v>42</v>
      </c>
      <c r="B135" s="31" t="s">
        <v>1208</v>
      </c>
      <c r="C135" s="32" t="s">
        <v>1233</v>
      </c>
      <c r="D135" s="31" t="s">
        <v>1234</v>
      </c>
      <c r="E135" s="21">
        <v>3</v>
      </c>
      <c r="F135" s="22" t="s">
        <v>1235</v>
      </c>
      <c r="G135" s="22" t="s">
        <v>59</v>
      </c>
      <c r="H135" s="21" t="s">
        <v>850</v>
      </c>
      <c r="I135" s="21">
        <v>2025</v>
      </c>
      <c r="J135" s="22" t="s">
        <v>81</v>
      </c>
      <c r="K135" s="23" t="s">
        <v>1236</v>
      </c>
      <c r="L135" s="23" t="s">
        <v>1237</v>
      </c>
      <c r="M135" s="23" t="s">
        <v>1238</v>
      </c>
      <c r="N135" s="23" t="s">
        <v>1239</v>
      </c>
      <c r="O135" s="23" t="s">
        <v>1240</v>
      </c>
    </row>
    <row r="136" spans="1:15" ht="75" customHeight="1" x14ac:dyDescent="0.3">
      <c r="A136" s="31" t="s">
        <v>42</v>
      </c>
      <c r="B136" s="31" t="s">
        <v>1208</v>
      </c>
      <c r="C136" s="32" t="s">
        <v>1241</v>
      </c>
      <c r="D136" s="31" t="s">
        <v>1242</v>
      </c>
      <c r="E136" s="21">
        <v>3</v>
      </c>
      <c r="F136" s="22" t="s">
        <v>1243</v>
      </c>
      <c r="G136" s="22" t="s">
        <v>59</v>
      </c>
      <c r="H136" s="21" t="s">
        <v>1244</v>
      </c>
      <c r="I136" s="21">
        <v>2025</v>
      </c>
      <c r="J136" s="22" t="s">
        <v>81</v>
      </c>
      <c r="K136" s="23" t="s">
        <v>1245</v>
      </c>
      <c r="L136" s="23" t="s">
        <v>1246</v>
      </c>
      <c r="M136" s="23" t="s">
        <v>1247</v>
      </c>
      <c r="N136" s="23" t="s">
        <v>1248</v>
      </c>
      <c r="O136" s="23" t="s">
        <v>1249</v>
      </c>
    </row>
    <row r="137" spans="1:15" ht="75" customHeight="1" x14ac:dyDescent="0.3">
      <c r="A137" s="31" t="s">
        <v>42</v>
      </c>
      <c r="B137" s="31" t="s">
        <v>1208</v>
      </c>
      <c r="C137" s="32" t="s">
        <v>1250</v>
      </c>
      <c r="D137" s="31" t="s">
        <v>1251</v>
      </c>
      <c r="E137" s="21">
        <v>3</v>
      </c>
      <c r="F137" s="22" t="s">
        <v>1252</v>
      </c>
      <c r="G137" s="22" t="s">
        <v>59</v>
      </c>
      <c r="H137" s="21" t="s">
        <v>1253</v>
      </c>
      <c r="I137" s="21">
        <v>2025</v>
      </c>
      <c r="J137" s="22" t="s">
        <v>81</v>
      </c>
      <c r="K137" s="23" t="s">
        <v>1254</v>
      </c>
      <c r="L137" s="23" t="s">
        <v>1255</v>
      </c>
      <c r="M137" s="23" t="s">
        <v>1256</v>
      </c>
      <c r="N137" s="23" t="s">
        <v>1257</v>
      </c>
      <c r="O137" s="23" t="s">
        <v>1258</v>
      </c>
    </row>
    <row r="138" spans="1:15" ht="75" customHeight="1" x14ac:dyDescent="0.3">
      <c r="A138" s="31" t="s">
        <v>42</v>
      </c>
      <c r="B138" s="31" t="s">
        <v>1208</v>
      </c>
      <c r="C138" s="32" t="s">
        <v>1259</v>
      </c>
      <c r="D138" s="31" t="s">
        <v>1260</v>
      </c>
      <c r="E138" s="21">
        <v>3</v>
      </c>
      <c r="F138" s="22" t="s">
        <v>1261</v>
      </c>
      <c r="G138" s="22" t="s">
        <v>59</v>
      </c>
      <c r="H138" s="21" t="s">
        <v>986</v>
      </c>
      <c r="I138" s="21">
        <v>2025</v>
      </c>
      <c r="J138" s="22" t="s">
        <v>81</v>
      </c>
      <c r="K138" s="23" t="s">
        <v>1262</v>
      </c>
      <c r="L138" s="23" t="s">
        <v>1263</v>
      </c>
      <c r="M138" s="23" t="s">
        <v>1264</v>
      </c>
      <c r="N138" s="23" t="s">
        <v>1265</v>
      </c>
      <c r="O138" s="23" t="s">
        <v>1266</v>
      </c>
    </row>
    <row r="139" spans="1:15" ht="75" customHeight="1" x14ac:dyDescent="0.3">
      <c r="A139" s="31" t="s">
        <v>42</v>
      </c>
      <c r="B139" s="31" t="s">
        <v>1267</v>
      </c>
      <c r="C139" s="32" t="s">
        <v>1268</v>
      </c>
      <c r="D139" s="31" t="s">
        <v>1269</v>
      </c>
      <c r="E139" s="21">
        <v>4</v>
      </c>
      <c r="F139" s="22" t="s">
        <v>1270</v>
      </c>
      <c r="G139" s="22" t="s">
        <v>59</v>
      </c>
      <c r="H139" s="21" t="s">
        <v>1271</v>
      </c>
      <c r="I139" s="21">
        <v>2025</v>
      </c>
      <c r="J139" s="22" t="s">
        <v>81</v>
      </c>
      <c r="K139" s="23" t="s">
        <v>1272</v>
      </c>
      <c r="L139" s="23" t="s">
        <v>1273</v>
      </c>
      <c r="M139" s="23" t="s">
        <v>1274</v>
      </c>
      <c r="N139" s="23" t="s">
        <v>1275</v>
      </c>
      <c r="O139" s="23" t="s">
        <v>1276</v>
      </c>
    </row>
    <row r="140" spans="1:15" ht="75" customHeight="1" x14ac:dyDescent="0.3">
      <c r="A140" s="31" t="s">
        <v>42</v>
      </c>
      <c r="B140" s="31" t="s">
        <v>1267</v>
      </c>
      <c r="C140" s="32" t="s">
        <v>1277</v>
      </c>
      <c r="D140" s="31" t="s">
        <v>1278</v>
      </c>
      <c r="E140" s="21">
        <v>4</v>
      </c>
      <c r="F140" s="22" t="s">
        <v>1279</v>
      </c>
      <c r="G140" s="22" t="s">
        <v>59</v>
      </c>
      <c r="H140" s="21" t="s">
        <v>1280</v>
      </c>
      <c r="I140" s="21">
        <v>2025</v>
      </c>
      <c r="J140" s="22" t="s">
        <v>91</v>
      </c>
      <c r="K140" s="23" t="s">
        <v>1281</v>
      </c>
      <c r="L140" s="23" t="s">
        <v>1282</v>
      </c>
      <c r="M140" s="23" t="s">
        <v>1283</v>
      </c>
      <c r="N140" s="23" t="s">
        <v>1284</v>
      </c>
      <c r="O140" s="23" t="s">
        <v>1285</v>
      </c>
    </row>
    <row r="141" spans="1:15" ht="75" customHeight="1" x14ac:dyDescent="0.3">
      <c r="A141" s="31" t="s">
        <v>42</v>
      </c>
      <c r="B141" s="31" t="s">
        <v>1267</v>
      </c>
      <c r="C141" s="32" t="s">
        <v>1286</v>
      </c>
      <c r="D141" s="31" t="s">
        <v>1287</v>
      </c>
      <c r="E141" s="21">
        <v>4</v>
      </c>
      <c r="F141" s="22" t="s">
        <v>1288</v>
      </c>
      <c r="G141" s="22" t="s">
        <v>59</v>
      </c>
      <c r="H141" s="21" t="s">
        <v>1289</v>
      </c>
      <c r="I141" s="21">
        <v>2025</v>
      </c>
      <c r="J141" s="22" t="s">
        <v>91</v>
      </c>
      <c r="K141" s="23" t="s">
        <v>1290</v>
      </c>
      <c r="L141" s="23" t="s">
        <v>1291</v>
      </c>
      <c r="M141" s="23" t="s">
        <v>1292</v>
      </c>
      <c r="N141" s="23" t="s">
        <v>1293</v>
      </c>
      <c r="O141" s="23" t="s">
        <v>1294</v>
      </c>
    </row>
  </sheetData>
  <autoFilter ref="A1:O141" xr:uid="{00000000-0009-0000-0000-000001000000}"/>
  <conditionalFormatting sqref="E2:E141">
    <cfRule type="expression" dxfId="1" priority="2">
      <formula>AND($E2&lt;&gt;"",$E2&lt;&gt;"N/A",$F2="")</formula>
    </cfRule>
    <cfRule type="cellIs" dxfId="0" priority="3" operator="equal">
      <formula>"N/A"</formula>
    </cfRule>
  </conditionalFormatting>
  <dataValidations count="2">
    <dataValidation type="list" allowBlank="1" showInputMessage="1" showErrorMessage="1" errorTitle="Level không hợp lệ" error="Chỉ chọn 1, 2, 3, 4, 5 hoặc N/A." promptTitle="Level" prompt="1–5 theo mô tả DBI; N/A nếu không có minh chứng công khai" sqref="E2:E141" xr:uid="{00000000-0002-0000-0100-000000000000}">
      <formula1>"1,2,3,4,5,N/A"</formula1>
      <formula2>0</formula2>
    </dataValidation>
    <dataValidation type="whole" allowBlank="1" showErrorMessage="1" errorTitle="Năm" error="Nhập năm dạng số, ví dụ 2025." sqref="I2:I141" xr:uid="{00000000-0002-0000-0100-000001000000}">
      <formula1>2015</formula1>
      <formula2>2030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Hướng dẫn</vt:lpstr>
      <vt:lpstr>Chấm điểm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tran ly</cp:lastModifiedBy>
  <cp:revision>0</cp:revision>
  <dcterms:created xsi:type="dcterms:W3CDTF">2026-10-07T05:58:20Z</dcterms:created>
  <dcterms:modified xsi:type="dcterms:W3CDTF">2026-10-10T08:44:55Z</dcterms:modified>
  <dc:language>en-US</dc:language>
</cp:coreProperties>
</file>