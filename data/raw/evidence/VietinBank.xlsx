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4"/>
    <sheet state="visible" name="Chấm điểm" sheetId="2" r:id="rId5"/>
  </sheets>
  <definedNames>
    <definedName hidden="1" localSheetId="1" name="_xlnm._FilterDatabase">'Chấm điểm'!$A$1:$O$141</definedName>
  </definedNames>
  <calcPr/>
  <extLst>
    <ext uri="GoogleSheetsCustomDataVersion2">
      <go:sheetsCustomData xmlns:go="http://customooxmlschemas.google.com/" r:id="rId6" roundtripDataChecksum="Ucx3ruABLet7qy0vzWCqnQ2/SEnrr24jojPfoSOdtsU="/>
    </ext>
  </extLst>
</workbook>
</file>

<file path=xl/sharedStrings.xml><?xml version="1.0" encoding="utf-8"?>
<sst xmlns="http://schemas.openxmlformats.org/spreadsheetml/2006/main" count="1707" uniqueCount="1242">
  <si>
    <t>PHIẾU THU THẬP MINH CHỨNG &amp; CHẤM ĐIỂM CĐS (DBI)</t>
  </si>
  <si>
    <t>Trụ cột</t>
  </si>
  <si>
    <t>Ngân hàng</t>
  </si>
  <si>
    <t>VietinBank</t>
  </si>
  <si>
    <t>Nhóm tiêu chí</t>
  </si>
  <si>
    <t>Mã</t>
  </si>
  <si>
    <t>Tiêu chí</t>
  </si>
  <si>
    <t>Level</t>
  </si>
  <si>
    <t>Minh chứng</t>
  </si>
  <si>
    <t>Nguồn</t>
  </si>
  <si>
    <t>Trang</t>
  </si>
  <si>
    <t>Năm</t>
  </si>
  <si>
    <t>Ghi chú</t>
  </si>
  <si>
    <t>Mức 1</t>
  </si>
  <si>
    <t>Mức 2</t>
  </si>
  <si>
    <t>Mức 3</t>
  </si>
  <si>
    <t>Mức 4</t>
  </si>
  <si>
    <t>Mức 5</t>
  </si>
  <si>
    <t>1. Trụ cột Khách hàng</t>
  </si>
  <si>
    <t>Góc nhìn của khách hàng đối với sản phẩm, dịch vụ</t>
  </si>
  <si>
    <t>1.1.1</t>
  </si>
  <si>
    <t>Cá nhân hóa trải nghiệm</t>
  </si>
  <si>
    <t>Trải nghiệm khách hàng không chỉ gói gọn trong nội bộ ngân hàng mà mở rộng kết nối với các đối tác chiến lược (như Boston Consulting Group và các đối tác hệ sinh thái đa ngành) để cung cấp giải pháp tài chính và phi tài chính liền mạch</t>
  </si>
  <si>
    <t>https://www.vietinbank.vn/chatbot-ai-tro-ly-thong-minh-nang-tam-trai-nghiem-khach-hang-tai-vietinbank-20260423090855-00-html</t>
  </si>
  <si>
    <t>← Tên ngân hàng: KHÔNG sửa (code đọc ô B3 để nhận diện)</t>
  </si>
  <si>
    <t>Người phụ trách</t>
  </si>
  <si>
    <t>Thư</t>
  </si>
  <si>
    <t>Năm dữ liệu (FY)</t>
  </si>
  <si>
    <t>Deadline nộp</t>
  </si>
  <si>
    <t>09/10</t>
  </si>
  <si>
    <t>CÁCH ĐIỀN (sheet "Chấm điểm")</t>
  </si>
  <si>
    <t>1. Chỉ điền vào các cột nền VÀNG (Level, Minh chứng, Nguồn, Trang, Năm, Ghi chú). Cột xám là cố định, không sửa.</t>
  </si>
  <si>
    <t>2. Đọc mô tả Mức 1–5 ở các cột bên phải của từng tiêu chí, rồi đọc minh chứng đã ghi để chọn Level.</t>
  </si>
  <si>
    <t>3. Level: chọn từ danh sách 1, 2, 3, 4, 5 hoặc N/A (không có minh chứng công khai). Không để trống.</t>
  </si>
  <si>
    <t>4. Trả lời 3 câu hỏi: (a) có tồn tại không; (b) phạm vi: một phần / một cụm / toàn ngân hàng / cùng đối tác; (c) có số liệu hoặc cam kết đo lường không.</t>
  </si>
  <si>
    <t>5. Minh chứng: ghi ngắn gọn điều ngân hàng đã làm, ưu tiên có số liệu. Không chép nguyên đoạn dài.</t>
  </si>
  <si>
    <t>6. Nguồn: tên tài liệu hoặc URL. Nhiều nguồn thì cách nhau bằng dấu chấm phẩy ( ; ). Ưu tiên BCTN, BC PTBV, website ngân hàng hơn tin tức.</t>
  </si>
  <si>
    <t>7. Trang: số trang trong tài liệu (nếu là website thì ghi "web"). Năm: năm của tài liệu/bài đăng.</t>
  </si>
  <si>
    <t>8. Chỉ dùng dữ liệu công khai. Chấm theo minh chứng đã ghi, không chấm theo ấn tượng chung về ngân hàng.</t>
  </si>
  <si>
    <t>9. Không thêm/xóa/đổi thứ tự dòng, không đổi tên cột, không đổi mã tiêu chí (phải đủ 140 mã).</t>
  </si>
  <si>
    <t>Có ít hoặc chưa có cá nhân hóa trong trải nghiệm khách hàng.</t>
  </si>
  <si>
    <t>VÍ DỤ ĐIỀN (chỉ minh họa, KHÔNG chép vào sheet Chấm điểm)</t>
  </si>
  <si>
    <t>Một số khía cạnh trong trải nghiệm khách hàng được cá nhân hóa dựa trên thông tin về khách hàng thu thập được ở một số bộ phận, đơn vị chức năng.</t>
  </si>
  <si>
    <t>Một số khía cạnh trong trải nghiệm khách hàng được cá nhân hóa dựa trên thông tin về khách hàng thu thập được và triển khai ở một số cụm các bộ phận, đơn vị chức năng.</t>
  </si>
  <si>
    <t>Tất cả các khía cạnh trong trải nghiệm khách hàng được cá nhân hóa dựa trên thông tin về khách hàng thu thập được và triển khai trong toàn doanh nghiệp.</t>
  </si>
  <si>
    <t>Tất cả các khía cạnh trong trải nghiệm khách hàng được cá nhân hóa dựa trên thông tin về khách hàng thu thập được, triển khai trong toàn doanh nghiệp và các đối tác trong hệ sinh thái của doanh nghiệp.</t>
  </si>
  <si>
    <t>1.1.2</t>
  </si>
  <si>
    <t>Tiếp thị mục tiêu</t>
  </si>
  <si>
    <t>Định hướng cá nhân hóa bằng AI/Big Data, ứng dụng MarTech và hành trình tiếp thị tự động; có giải pháp 'Hành trình vay mua nhà trên Big Data'. Chưa có số liệu về phạm vi nội dung tiếp thị được nhắm mục tiêu.</t>
  </si>
  <si>
    <t>Ứng dụng gợi ý sản phẩm/ưu đãi theo hành vi giao dịch cho nhóm khách hàng cá nhân; chưa nêu phạm vi toàn ngân hàng.</t>
  </si>
  <si>
    <t>BCTN 2025; website mục Ngân hàng số</t>
  </si>
  <si>
    <t>N/A</t>
  </si>
  <si>
    <t>Không tìm thấy thông tin công khai.</t>
  </si>
  <si>
    <t>TIẾN ĐỘ &amp; KIỂM TRA TỰ ĐỘNG</t>
  </si>
  <si>
    <r>
      <rPr>
        <rFont val="Arial"/>
        <color rgb="FF1155CC"/>
        <sz val="10.0"/>
        <u/>
      </rPr>
      <t>https://diendandoanhnghiep.vn/print/10159601.html</t>
    </r>
    <r>
      <rPr>
        <rFont val="Arial"/>
        <sz val="10.0"/>
      </rPr>
      <t xml:space="preserve"> ; https://thitruongtaichinhtiente.vn/vietinbank-du-lieu-lam-nen-tang-ai-lam-dong-luc-chuyen-doi-so-84986.html</t>
    </r>
  </si>
  <si>
    <t>Tổng tiêu chí</t>
  </si>
  <si>
    <t>Đã có Level (1–5)</t>
  </si>
  <si>
    <t>Còn trống</t>
  </si>
  <si>
    <t>web</t>
  </si>
  <si>
    <t>Có một số nội dung tiếp thị được nhắm mục tiêu.</t>
  </si>
  <si>
    <t>Hầu hết nội dung tiếp thị được nhắm mục tiêu.</t>
  </si>
  <si>
    <t>Hầu hết nội dung tiếp thị được nhắm mục tiêu và có liên quan đến bối cảnh của khách hàng.</t>
  </si>
  <si>
    <t>Tất cả nội dung tiếp thị trong doanh nghiệp được nhắm mục tiêu và có liên quan đến bối cảnh của khách hàng.</t>
  </si>
  <si>
    <t>Tất cả nội dung tiếp thị từ cả doanh nghiệp và các đối tác trong hệ sinh thái của doanh nghiệp đều được nhắm mục tiêu và có liên quan đến bối cảnh của khách hàng.</t>
  </si>
  <si>
    <t>1.1.3</t>
  </si>
  <si>
    <t>Tự tùy chỉnh</t>
  </si>
  <si>
    <t>Cung cấp nhiều công cụ số để khách hàng tự thao tác: iPay &gt;200 tiện ích kết nối &gt;6.000 nhà cung cấp, eFAST &gt;130 tính năng, giải ngân online, eKYC. Chưa có bằng chứng về tùy chỉnh sản phẩm.</t>
  </si>
  <si>
    <t>https://investor.vietinbank.vn/documents/20126/a90d3d14-49e7-6f23-0e6c-7625baf56018</t>
  </si>
  <si>
    <t>38-39</t>
  </si>
  <si>
    <t>Có rất ít công cụ sẵn có để cho phép khách hàng tùy chỉnh sản phẩm và dịch vụ.</t>
  </si>
  <si>
    <t>Một số công cụ có sẵn để cho phép khách hàng tùy chỉnh một số sản phẩm và dịch vụ.</t>
  </si>
  <si>
    <t>Một loạt các công cụ có sẵn để cho phép khách hàng tùy chỉnh tương đối đầy đủ cho một số sản phẩm và dịch vụ.</t>
  </si>
  <si>
    <t>Một loạt các công cụ được doanh nghiệp cung cấp cho phép khách hàng tùy chỉnh hoàn toàn cho các sản phẩm và dịch vụ của chính họ cùng một lúc.</t>
  </si>
  <si>
    <t>Một loạt các công cụ được doanh nghiệp và các đối tác trong hệ sinh thái của doanh nghiệp cung cấp cho phép khách hàng tùy chỉnh đầy đủ cho tất cả các sản phẩm và dịch vụ cùng một lúc.</t>
  </si>
  <si>
    <t>1.1.4</t>
  </si>
  <si>
    <t>Dễ sử dụng</t>
  </si>
  <si>
    <t>Tỷ lệ giải ngân online &gt;90%, thời gian xử lý rút còn 5–10 phút; 99% giao dịch thanh toán thực hiện qua kênh số.</t>
  </si>
  <si>
    <t>38-39; 58-59</t>
  </si>
  <si>
    <t>Có rất ít hoạt động tương tác với doanh nghiệp khiến khách hàng cảm thấy dễ dàng được đáp ứng nhu cầu cá nhân.</t>
  </si>
  <si>
    <t>Một số tương tác với doanh nghiệp khiến khách hàng cảm thấy dễ dàng được đáp ứng nhu cầu cá nhân.</t>
  </si>
  <si>
    <t>Hầu hết các tương tác với doanh nghiệp khiến khách hàng cảm thấy dễ dàng được đáp ứng nhu cầu cá nhân.</t>
  </si>
  <si>
    <t>Tất cả các tương tác với doanh nghiệp khiến khách hàng cảm thấy dễ dàng được đáp ứng nhu cầu cá nhân.</t>
  </si>
  <si>
    <t>Tất cả các tương tác với doanh nghiệp và các đối tác trong hệ sinh thái của doanh nghiệp khiến khách hàng cảm thấy dễ dàng được đáp ứng nhu cầu cá nhân.</t>
  </si>
  <si>
    <t>1.1.5</t>
  </si>
  <si>
    <t>Mức độ hứng thú của khách hàng</t>
  </si>
  <si>
    <t>Có rất ít hoạt động tương tác của khách hàng với doanh nghiệp khiến khách hàng cảm thấy thú vị.</t>
  </si>
  <si>
    <t>Một số hoạt động tương tác của khách hàng với doanh nghiệp khiến khách hàng cảm thấy thú vị.</t>
  </si>
  <si>
    <t>Hầu hết hoạt động tương tác của khách hàng với doanh nghiệp khiến khách hàng cảm thấy thú vị.</t>
  </si>
  <si>
    <t>Tất cả hoạt động tương tác của khách hàng với doanh nghiệp khiến khách hàng cảm thấy thú vị.</t>
  </si>
  <si>
    <t>Tất cả hoạt động tương tác của khách hàng với doanh nghiệp và các đối tác trong hệ sinh thái của doanh nghiệp khiến khách hàng cảm thấy thú vị.</t>
  </si>
  <si>
    <t>1.1.6</t>
  </si>
  <si>
    <t>Tương tác số</t>
  </si>
  <si>
    <t>99% giao dịch thanh toán qua kênh số; giải ngân online &gt;90%; mở tài khoản eKYC, bảo lãnh online, giao dịch ngoại tệ 24/7 trên eFAST. Chưa nêu 'tất cả' tương tác làm được trên kênh số.</t>
  </si>
  <si>
    <t>38-39; 58-59; 66-67</t>
  </si>
  <si>
    <t>Có rất ít tương tác có thể được thực hiện trên các kênh số.</t>
  </si>
  <si>
    <t>Một số tương tác của khách hàng với doanh nghiệp có thể được thực hiện trên các kênh số.</t>
  </si>
  <si>
    <t>Hầu hết các tương tác của khách hàng với doanh nghiệp có thể được thực hiện trên các kênh số.</t>
  </si>
  <si>
    <t>Tất cả các tương tác của khách hàng với doanh nghiệp có thể được thực hiện trên các kênh số.</t>
  </si>
  <si>
    <t>Tất cả các tương tác của khách hàng với doanh nghiệp và các đối tác trong hệ sinh thái của doanh nghiệp có thể được thực hiện trên các kênh số.</t>
  </si>
  <si>
    <t>1.1.7</t>
  </si>
  <si>
    <t>Chủ động chăm sóc</t>
  </si>
  <si>
    <t>Hơn 50 ứng dụng AI/ML đang vận hành giúp cá nhân hóa trải nghiệm, tăng hiệu quả bán chéo, cải thiện tỷ lệ giữ chân khách hàng; chưa có số liệu về mức dự đoán nhu cầu.</t>
  </si>
  <si>
    <t>46-47</t>
  </si>
  <si>
    <t>Có rất ít nhu cầu hoặc vấn đề của khách hàng được doanh nghiệp dự đoán trước.</t>
  </si>
  <si>
    <t>Một số nhu cầu hoặc vấn đề của khách hàng được doanh nghiệp dự đoán trước.</t>
  </si>
  <si>
    <t>Hầu hết các nhu cầu hoặc vấn đề của khách hàng đều được doanh nghiệp dự đoán trước.</t>
  </si>
  <si>
    <t>Tất cả các nhu cầu hoặc vấn đề của khách hàng đều được doanh nghiệp dự đoán trước.</t>
  </si>
  <si>
    <t>Tất cả các nhu cầu hoặc vấn đề của khách hàng đều được doanh nghiệp hoặc các đối tác trong hệ sinh thái của doanh nghiệp dự đoán trước.</t>
  </si>
  <si>
    <t>1.1.8</t>
  </si>
  <si>
    <t>Gắn kết xã hội</t>
  </si>
  <si>
    <t>Sự gắn kết xã hội chưa được xem xét.</t>
  </si>
  <si>
    <t>Ít nhất một đơn vị bộ phận, đơn vị chức năng có hoạt động thúc đẩy sự gắn kết xã hội với và giữa các khách hàng để khuyến khích sự trung thành.</t>
  </si>
  <si>
    <t>Hầu hết các đơn vị bộ phận, đơn vị chức năng có hoạt động thúc đẩy sự gắn kết xã hội với và giữa các khách hàng để khuyến khích sự trung thành.</t>
  </si>
  <si>
    <t>Toàn bộ các đơn vị bộ phận, đơn vị chức năng có hoạt động thúc đẩy sự gắn kết xã hội với và giữa các khách hàng để khuyến khích sự trung thành.</t>
  </si>
  <si>
    <t>Toàn bộ các đơn vị bộ phận, đơn vị chức năng của doanh nghiệp và các đối tác trong hệ sinh thái có hoạt động thúc đẩy sự gắn kết xã hội với và giữa các khách hàng để khuyến khích sự trung thành.</t>
  </si>
  <si>
    <t>1.1.9</t>
  </si>
  <si>
    <t>Thúc đẩy mức độ trung thành</t>
  </si>
  <si>
    <t>Chiến lược trở thành ngân hàng chính của khách hàng, tăng gắn kết và giữ chân; từ 2026 đưa chỉ tiêu MAU của iPay/eFAST vào đánh giá giám đốc chi nhánh. Chưa thấy chương trình khách hàng thân thiết cụ thể.</t>
  </si>
  <si>
    <t>18-19; 46-47</t>
  </si>
  <si>
    <t>Các chương trình thúc đẩy sự trung thành chưa được doanh nghiệp tích cực xem xét.</t>
  </si>
  <si>
    <t>Doanh nghiệp khuyến khích toàn bộ các bộ phận, đơn vị chức năng có liên quan đến khách hàng triển khai các hành động để thúc đẩy sự trung thành của khách hàng với thương hiệu.</t>
  </si>
  <si>
    <t>2. Trụ cột Chiến lược</t>
  </si>
  <si>
    <t>Một số bộ phận, đơn vị chức năng có hành động thực tế thúc đẩy sự trung thành của khách hàng với thương hiệu.</t>
  </si>
  <si>
    <t>Toàn bộ các bộ phận, đơn vị chức năng liên quan đến khách hàng có hành động thực tế thúc đẩy sự trung thành của khách hàng với thương hiệu.</t>
  </si>
  <si>
    <t>Toàn bộ các bộ phận, đơn vị chức năng liên quan đến khách hàng và hệ sinh thái có hành động thực tế thúc đẩy sự trung thành của khách hàng với thương hiệu.</t>
  </si>
  <si>
    <t>Quản lý trải nghiệm khách hàng</t>
  </si>
  <si>
    <t>1.2.1</t>
  </si>
  <si>
    <t>Tầm nhìn về trải nghiệm khách hàng</t>
  </si>
  <si>
    <t>Chiến lược lấy khách hàng làm trung tâm' là triết lý hoạt động toàn ngân hàng, cam kết nâng cao CX xuyên suốt hành trình; kết hợp định hướng DX–CX–EX.</t>
  </si>
  <si>
    <t>https://investor.vietinbank.vn/documents/20126/a90d3d14-49e7-6f23-0e6c-7625baf56018; https://diendandoanhnghiep.vn/print/10159601.html</t>
  </si>
  <si>
    <t>16-17; web</t>
  </si>
  <si>
    <t>Doanh nghiệp chưa có bất kỳ tầm nhìn về trải nghiệm khách hàng.</t>
  </si>
  <si>
    <t>Một số bộ phận, đơn vị chức năng đã bắt đầu xác định tầm nhìn về trải nghiệm của khách hàng.</t>
  </si>
  <si>
    <t>Doanh nghiệp có một tầm nhìn về trải nghiệm khách hàng được xác định rõ ràng, được một số bộ phận, đơn vị chức năng áp dụng.</t>
  </si>
  <si>
    <t>Doanh nghiệp có tầm nhìn chung về trải nghiệm khách hàng được xác định rõ ràng và dễ hiểu.</t>
  </si>
  <si>
    <t>Doanh nghiệp và các đối tác trong hệ sinh thái của doanh nghiệp có tầm nhìn chung về trải nghiệm khách hàng được xác định rõ ràng và dễ hiểu.</t>
  </si>
  <si>
    <t>1.2.2</t>
  </si>
  <si>
    <t>Thiết kế theo định hướng của trải nghiệm khách hàng</t>
  </si>
  <si>
    <t>3. Trụ cột Công nghệ</t>
  </si>
  <si>
    <t>Triết lý 'khách hàng là trung tâm' áp dụng trong phát triển sản phẩm; đào tạo Design Thinking cho cán bộ; thiết kế hành trình số (vay, giải ngân online). Chưa thấy số liệu phạm vi áp dụng.</t>
  </si>
  <si>
    <t>16-17; 58-59; web</t>
  </si>
  <si>
    <t>Trải nghiệm khách hàng chưa được xem xét một cách có chủ ý.</t>
  </si>
  <si>
    <t>Trải nghiệm khách hàng được xem xét bởi ít nhất một bộ phận, đơn vị chức năng của doanh nghiệp trong việc thiết kế và triển khai các sản phẩm và dịch vụ.</t>
  </si>
  <si>
    <t>Trải nghiệm khách hàng được xem xét bởi hầu hết các bộ phận, đơn vị chức năng của doanh nghiệp trong việc thiết kế và triển khai các sản phẩm và dịch vụ.</t>
  </si>
  <si>
    <t>Trải nghiệm khách hàng được doanh nghiệp xem xét đầy đủ trong thiết kế và triển khai các sản phẩm và dịch vụ.</t>
  </si>
  <si>
    <t>Trải nghiệm của khách hàng được doanh nghiệp và các đối tác trong hệ sinh thái của doanh nghiệp xem xét đầy đủ trong quá trình thiết kế và triển khai các sản phẩm và dịch vụ.</t>
  </si>
  <si>
    <t>1.2.3</t>
  </si>
  <si>
    <t>Có ngân sách đầu tư để đạt các mục tiêu trải nghiệm khách hàng</t>
  </si>
  <si>
    <t>Doanh nghiệp chưa có kế hoạch đầu tư để đạt được tầm nhìn trải nghiệm của khách hàng.</t>
  </si>
  <si>
    <t>Ít nhất một đơn vị bộ phận, đơn vị chức năng trong doanh nghiệp lên kế hoạch đầu tư để đạt được tầm nhìn trải nghiệm khách hàng của mình.</t>
  </si>
  <si>
    <t>Hầu hết các bộ phận, đơn vị chức năng trong doanh nghiệp đều lên kế hoạch đầu tư để đạt được tầm nhìn về trải nghiệm khách hàng của họ.</t>
  </si>
  <si>
    <t>Toàn bộ bộ phận, đơn vị chức năng có liên quan đến khách hàng có kế hoạch đầu tư để đạt được tầm nhìn về trải nghiệm của khách hàng.</t>
  </si>
  <si>
    <t>Toàn bộ bộ phận, đơn vị chức năng có liên quan đến khách hàng và hệ sinh thái có kế hoạch đầu tư để đạt được tầm nhìn về trải nghiệm của khách hàng.</t>
  </si>
  <si>
    <t>1.2.4</t>
  </si>
  <si>
    <t>Phạm vi danh mục sản phẩm và dịch vụ</t>
  </si>
  <si>
    <t>6 dự án lớn 2026 (CRM, Corporate Lending, Affluent, Core Card, Core Banking, iPay/eFAST) nhằm tác động trực tiếp tới CX; danh mục sản phẩm số gắn mục tiêu trải nghiệm.</t>
  </si>
  <si>
    <t>4. Trụ cột Vận hành</t>
  </si>
  <si>
    <t>Trải nghiệm khách hàng chưa được xem xét trong phát triển danh mục sản phẩm và dịch vụ.</t>
  </si>
  <si>
    <t>Trải nghiệm khách hàng là một phần của danh mục sản phẩm và dịch vụ được cung cấp bởi ít nhất một bộ phận, đơn vị chức năng.</t>
  </si>
  <si>
    <t>Trải nghiệm khách hàng là một phần không thể thiếu trong danh mục sản phẩm và dịch vụ được cung cấp bởi hầu hết các bộ phận, đơn vị chức năng.</t>
  </si>
  <si>
    <t>Trải nghiệm khách hàng là một phần không thể thiếu trong danh mục sản phẩm và dịch vụ do doanh nghiệp cung cấp.</t>
  </si>
  <si>
    <t>Trải nghiệm của khách hàng là một phần không thể thiếu trong danh mục sản phẩm và dịch vụ do doanh nghiệp và các đối tác trong hệ sinh thái của doanh nghiệp cung cấp.</t>
  </si>
  <si>
    <t>1.2.5</t>
  </si>
  <si>
    <t>Quá trình đăng ký sử dụng sản phẩm và dịch vụ</t>
  </si>
  <si>
    <t>Mở tài khoản và quản lý tài khoản hoàn toàn online bằng eKYC trên eFAST; eKYC giúp mọi nhóm khách hàng tiếp cận vốn.</t>
  </si>
  <si>
    <t>38-39; 66-67</t>
  </si>
  <si>
    <t>Trải nghiệm của khách hàng chưa được đưa vào quá trình tiếp cận và giới thiệu đăng ký sản phẩm và dịch vụ cho khách hàng mới.</t>
  </si>
  <si>
    <t>Có ít nhất một bộ phận, đơn vị chức năng đưa trải nghiệm khách hàng vào quá trình tiếp cận và giới thiệu đăng ký sản phẩm và dịch vụ dành cho khách hàng mới.</t>
  </si>
  <si>
    <t>Hầu hết các bộ phận, đơn vị chức năng đưa trải nghiệm khách hàng vào quá trình tiếp cận và giới thiệu đăng ký sản phẩm và dịch vụ dành cho khách hàng mới.</t>
  </si>
  <si>
    <t>Toàn bộ doanh nghiệp đưa trải nghiệm khách hàng vào quá trình tiếp cận và giới thiệu đăng ký sản phẩm và dịch vụ dành cho khách hàng mới.</t>
  </si>
  <si>
    <t>Toàn bộ doanh nghiệp và hệ sinh thái của doanh nghiệp đưa trải nghiệm khách hàng được đưa vào quá trình tiếp cận và giới thiệu đăng ký sản phẩm và dịch vụ dành cho khách hàng mới.</t>
  </si>
  <si>
    <t>1.2.6</t>
  </si>
  <si>
    <t>Đa kênh hợp nhất</t>
  </si>
  <si>
    <t>Khách hàng chưa thể bắt đầu hành trình trên một kênh/thiết bị và tiếp tục ở một kênh/thiết bị khác.</t>
  </si>
  <si>
    <t>5. Trụ cột Văn hóa</t>
  </si>
  <si>
    <t>Doanh nghiệp quản lý được bối cảnh của một số cấu phần trong hành trình khách hàng liên thông trên hầu hết các kênh và thiết bị.</t>
  </si>
  <si>
    <t>Doanh nghiệp quản lý được bối cảnh của hầu hết các hành trình khách hàng liên thông trên hầu hết các kênh và thiết bị.</t>
  </si>
  <si>
    <t>Doanh nghiệp quản lý được bối cảnh của toàn bộ các hành trình khách hàng liên thông trên tất cả các kênh và thiết bị.</t>
  </si>
  <si>
    <t>Doanh nghiệp và hệ sinh thái quản lý được bối cảnh của toàn bộ các hành trình khách hàng liên thông trên tất cả các kênh và thiết bị.</t>
  </si>
  <si>
    <t>1.2.7</t>
  </si>
  <si>
    <t>Đo lường trải nghiệm khách hàng</t>
  </si>
  <si>
    <t>Có chiến dịch đánh giá trải nghiệm và khảo sát khách hàng thường xuyên; Contact Center 24/7 qua điện thoại, website, email, chatbot. Chưa nêu đo lường theo từng hành trình.</t>
  </si>
  <si>
    <t>28-29</t>
  </si>
  <si>
    <t>Hiệu suất hành trình khách hàng chưa được đo lường.</t>
  </si>
  <si>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</si>
  <si>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đo lường được hiệu quả của tất cả hành trình khách hàng và một số giai đoạn riêng lẻ trong hành trình của khách hàng.</t>
  </si>
  <si>
    <t>Doanh nghiệp đo lường được hiệu quả của tất cả hành trình khách hàng và các giai đoạn riêng lẻ trong hành trình của khách hàng.</t>
  </si>
  <si>
    <t>Doanh nghiệp và hệ sinh thái đo lường được hiệu quả của tất cả hành trình khách hàng và các giai đoạn riêng lẻ trong hành trình của khách hàng.</t>
  </si>
  <si>
    <t>1.2.8</t>
  </si>
  <si>
    <t>Quản lý hành trình khách hàng</t>
  </si>
  <si>
    <t>Hiệu suất của hành trình của khách hàng chưa được quản lý.</t>
  </si>
  <si>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</si>
  <si>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quản lý được hiệu quả của tất cả hành trình khách hàng và một số giai đoạn riêng lẻ trong hành trình của khách hàng.</t>
  </si>
  <si>
    <t>6. Trụ cột Dữ liệu</t>
  </si>
  <si>
    <t>Doanh nghiệp quản lý được hiệu quả của tất cả hành trình khách hàng và các giai đoạn riêng lẻ trong hành trình của khách hàng.</t>
  </si>
  <si>
    <t>Doanh nghiệp và hệ sinh thái quản lý được hiệu quả của tất cả hành trình khách hàng và các giai đoạn riêng lẻ trong hành trình của khách hàng.</t>
  </si>
  <si>
    <t>Thấu hiểu khách hàng</t>
  </si>
  <si>
    <t>1.3.1</t>
  </si>
  <si>
    <t>Góc nhìn 360 độ về khách hàng</t>
  </si>
  <si>
    <t>CRM là 1 trong 6 dự án lớn triển khai 2026; dùng Big Data phân tích hành vi, nhu cầu khách hàng. Chưa có thông tin về phạm vi khách hàng đã có góc nhìn 360 độ.</t>
  </si>
  <si>
    <t>Doanh nghiệp chưa có góc nhìn 360 độ về khách hàng.</t>
  </si>
  <si>
    <t>Doanh nghiệp duy trì góc nhìn 360 độ của một số khách hàng.</t>
  </si>
  <si>
    <t>Doanh nghiệp duy trì góc nhìn 360 độ của hầu hết khách hàng.</t>
  </si>
  <si>
    <t>Doanh nghiệp luôn duy trì góc nhìn 360 độ về tất cả khách hàng.</t>
  </si>
  <si>
    <t>Doanh nghiệp và các đối tác trong hệ sinh thái của mình luôn duy trì góc nhìn 360 độ về tất cả khách hàng.</t>
  </si>
  <si>
    <t>1.3.2</t>
  </si>
  <si>
    <t>Nguồn khai thác dữ liệu tin cậy duy nhất</t>
  </si>
  <si>
    <t>Thành lập Khối Dữ liệu &amp; AI (3/2025) làm đầu mối trung tâm về quản trị, bảo mật, khai phá dữ liệu; chưa nêu phạm vi nguồn tin cậy duy nhất cho thông tin khách hàng.</t>
  </si>
  <si>
    <t>Doanh nghiệp chưa có một nguồn tin cậy duy nhất cho bất kỳ thông tin nào của khách hàng.</t>
  </si>
  <si>
    <t>Có một nguồn tin cậy duy nhất cho một số yếu tố của thông tin khách hàng trong toàn doanh nghiệp.</t>
  </si>
  <si>
    <t>Có một nguồn tin cậy duy nhất cho hầu hết các yếu tố thông tin khách hàng trong toàn doanh nghiệp.</t>
  </si>
  <si>
    <t>Có một nguồn tin cậy duy nhất cho toàn bộ thông tin khách hàng trong toàn doanh nghiệp.</t>
  </si>
  <si>
    <t>Có một nguồn tin cậy duy nhất cho toàn bộ thông tin khách hàng trong toàn doanh nghiệp và các đối tác trong hệ sinh thái của doanh nghiệp.</t>
  </si>
  <si>
    <t>1.3.3</t>
  </si>
  <si>
    <t>Nhu cầu của khách hàng</t>
  </si>
  <si>
    <t>Dùng Big Data để hiểu hành vi, nhu cầu khách hàng và thiết kế dịch vụ cá nhân hóa; khảo sát khách hàng định kỳ.</t>
  </si>
  <si>
    <t>TỔNG</t>
  </si>
  <si>
    <t>18-19; 28-29</t>
  </si>
  <si>
    <t>Kỳ vọng, sở thích và những điều khách hàng chưa hài lòng chưa được tích cực xem xét.</t>
  </si>
  <si>
    <t>Kỳ vọng, sở thích và những điều khách hàng chưa hài lòng tích cực xem xét ở một số bộ phận, đơn vị chức năng.</t>
  </si>
  <si>
    <t>Kỳ vọng, sở thích và những điều khách hàng chưa hài lòng được tích cực xem xét trên hầu hết các bộ phận, đơn vị chức năng.</t>
  </si>
  <si>
    <t>Tất cả các kỳ vọng, sở thích và những điều khách hàng chưa hài lòng đều được tích cực xem xét trong toàn doanh nghiệp.</t>
  </si>
  <si>
    <t>Tất cả các kỳ vọng, sở thích và những điều khách hàng chưa hài lòng đều được tích cực xem xét trong toàn doanh nghiệp và các đối tác trong hệ sinh thái của doanh nghiệp.</t>
  </si>
  <si>
    <t>Niềm tin của khách hàng</t>
  </si>
  <si>
    <t>1.4.1</t>
  </si>
  <si>
    <t>Cam kết thương hiệu</t>
  </si>
  <si>
    <t>Cam kết minh bạch, trung thực, vì lợi ích khách hàng trong triết lý hoạt động; Top 50 doanh nghiệp quản trị tốt nhất (VNCG50). Chưa có chỉ số đo mức đáp ứng kỳ vọng.</t>
  </si>
  <si>
    <t>6; 16-17</t>
  </si>
  <si>
    <t>Cam kết về thương hiệu hiếm khi phù hợp với kỳ vọng của khách hàng.</t>
  </si>
  <si>
    <t>Một số bộ phận, đơn vị chức năng (có liên quan đến cam kết thương hiệu) trong doanh nghiệp đáp ứng các kỳ vọng của khách hàng phù hợp với cam kết thương hiệu của doanh nghiệp.</t>
  </si>
  <si>
    <t>Hầu hết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</si>
  <si>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</si>
  <si>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và hệ sinh thái doanh nghiệp đáp ứng các kỳ vọng của khách hàng phù hợp với cam kết thương hiệu của doanh nghiệp.</t>
  </si>
  <si>
    <t>1.4.2</t>
  </si>
  <si>
    <t>Xử lý phản ánh khách hàng</t>
  </si>
  <si>
    <t>Contact Center 24/7 nhiều kênh (điện thoại, website, email, chatbot); cam kết ghi nhận, giải quyết khiếu nại; khảo sát chất lượng sản phẩm dịch vụ. Chưa có số liệu tỷ lệ xử lý.</t>
  </si>
  <si>
    <t>Level sai (khác 1–5 và N/A)</t>
  </si>
  <si>
    <t>Khiếu nại nhận được hiếm khi được trả lời hoặc rút kinh nghiệm một cách thích hợp.</t>
  </si>
  <si>
    <t>Một số khiếu nại nhận được được phản hồi một cách thích hợp và có những cải tiến liên quan.</t>
  </si>
  <si>
    <t>Hầu hết các khiếu nại nhận được đều được phản hồi một cách thích hợp và dẫn tới các cải tiến liên quan.</t>
  </si>
  <si>
    <t>Toàn bộ các khiếu nại nhận được đều được phản hồi một cách thích hợp và có sự cải tiến liên tục trong toàn doanh nghiệp.</t>
  </si>
  <si>
    <t>Toàn bộ các khiếu nại nhận được đều được phản hồi một cách thích hợp và có sự cải tiến liên tục trong toàn doanh nghiệp và các đối tác trong hệ sinh thái của doanh nghiệp.</t>
  </si>
  <si>
    <t>1.4.3</t>
  </si>
  <si>
    <t>Quyền riêng tư</t>
  </si>
  <si>
    <t>Không ghi nhận vi phạm về quyền riêng tư hoặc dữ liệu khách hàng trong 2025.</t>
  </si>
  <si>
    <t>40-41</t>
  </si>
  <si>
    <t>Khách hàng chưa tin tưởng doanh nghiệp sẽ đảm bảo quyền riêng tư của họ.</t>
  </si>
  <si>
    <t>Một số khách hàng tin tưởng doanh nghiệp sẽ thiết kế đảm bảo quyền riêng tư của họ.</t>
  </si>
  <si>
    <t>Hầu hết khách hàng tin tưởng doanh nghiệp sẽ thiết kế đảm bảo quyền riêng tư của họ.</t>
  </si>
  <si>
    <t>Toàn bộ khách hàng tin tưởng doanh nghiệp sẽ thiết kế đảm bảo quyền riêng tư của họ.</t>
  </si>
  <si>
    <t>Toàn bộ khách hàng tin tưởng doanh nghiệp và hệ sinh thái của doanh nghiệp sẽ thiết kế đảm bảo quyền riêng tư của họ.</t>
  </si>
  <si>
    <t>1.4.4</t>
  </si>
  <si>
    <t>Kiểm soát thông tin cá nhân, dữ liệu cá nhân</t>
  </si>
  <si>
    <t xml:space="preserve">Điều khoản về bảo vệ và xử lý dữ liệu cá nhân của VietinBank (mục 7.1) . Mới là quyền yêu cầu, không thấy công cụ tự kiểm soát (consent dashboard) trong app; rút đồng ý có thể dẫn tới ngừng cung cấp dịch vụ; chưa nêu rõ đối tác hệ sinh thái. Phạm vi toàn ngân hàng. </t>
  </si>
  <si>
    <t>https://www.vietinbank.vn/ls/Warning-rcm/T&amp;C-DLCN.pdf</t>
  </si>
  <si>
    <t>Có Level 1–5 nhưng thiếu Minh chứng</t>
  </si>
  <si>
    <t>Người dùng chưa thể kiểm soát cách thông tin cá nhân, dữ liệu cá nhân của họ được sử dụng.</t>
  </si>
  <si>
    <t>Người dùng có thể kiểm soát cách doanh nghiệp sử dụng một số thông tin cá nhân, dữ liệu cá nhân của họ.</t>
  </si>
  <si>
    <t>Người dùng có thể kiểm soát cách doanh nghiệp sử dụng hầu hết thông tin cá nhân, dữ liệu cá nhân của họ.</t>
  </si>
  <si>
    <t>Người dùng nhận thức được và có thể dễ dàng kiểm soát cách doanh nghiệp sử dụng tất cả thông tin cá nhân, dữ liệu cá nhân của họ.</t>
  </si>
  <si>
    <t>Người dùng biết và có thể dễ dàng kiểm soát cách doanh nghiệp và các đối tác trong hệ sinh thái sử dụng tất cả thông tin cá nhân, dữ liệu cá nhân của họ.</t>
  </si>
  <si>
    <t>1.4.5</t>
  </si>
  <si>
    <t>Thúc đẩy niềm tin khách hàng</t>
  </si>
  <si>
    <t>Không ghi nhận vi phạm về quyền riêng tư; Top 50 doanh nghiệp quản trị tốt nhất (VNCG50); cam kết cung cấp thông tin trung thực, minh bạch cho khách hàng.</t>
  </si>
  <si>
    <t>Có Level 1–5 nhưng thiếu Nguồn</t>
  </si>
  <si>
    <t>6; 16-17; 40-41</t>
  </si>
  <si>
    <t>Niềm tin của khách hàng chưa được đưa vào xem xét trong định hướng kinh doanh của doanh nghiệp.</t>
  </si>
  <si>
    <t>Một số bộ phận, đơn vị chức năng tiến hành kinh doanh theo cách thúc đẩy tạo niềm tin cho khách hàng.</t>
  </si>
  <si>
    <t>Hầu hết các bộ phận, đơn vị chức năng tiến hành kinh doanh theo cách thúc đẩy vào sự tin tưởng của khách hàng.</t>
  </si>
  <si>
    <t>Hoạt động kinh doanh được thực hiện bởi doanh nghiệp theo cách tối đa hóa niềm tin của khách hàng.</t>
  </si>
  <si>
    <t>Hoạt động kinh doanh được thực hiện bởi doanh nghiệp và các đối tác trong hệ sinh thái của doanh nghiệp theo cách tối đa hóa niềm tin của khách hàng.</t>
  </si>
  <si>
    <t>Mục tiêu: "Còn trống" = 0 và cả 3 ô kiểm tra = 0 trước khi nộp.</t>
  </si>
  <si>
    <t>Quản lý marketing và thương hiệu</t>
  </si>
  <si>
    <t>2.1.1</t>
  </si>
  <si>
    <t>Chiến lược thương hiệu</t>
  </si>
  <si>
    <t>Chiến lược thương hiệu số chưa tồn tại hoặc chỉ tồn tại theo sự vụ.</t>
  </si>
  <si>
    <t>Chiến lược thương hiệu số với nguyên tắc thương hiệu được áp dụng và hiểu tại một số bộ phận, đơn vị chức năng.</t>
  </si>
  <si>
    <t>Một chiến lược thương hiệu số với nguyên tắc thương hiệu được hiểu và áp dụng bởi hầu hết các bộ phận, đơn vị chức năng.</t>
  </si>
  <si>
    <t>Một chiến lược thương hiệu số với nguyên tắc thương hiệu được áp dụng và được hiểu trong toàn bộ doanh nghiệp.</t>
  </si>
  <si>
    <t>Một chiến lược thương hiệu số thống nhất với các nguyên tắc thương hiệu được áp dụng và được hiểu trong toàn bộ doanh nghiệp và các đối tác trong hệ sinh thái của doanh nghiệp.</t>
  </si>
  <si>
    <t>2.1.2</t>
  </si>
  <si>
    <t>Quản trị thương hiệu</t>
  </si>
  <si>
    <t>Quản trị thương hiệu kỹ thuật số chưa tồn tại hoặc là tồn tại theo sự vụ.</t>
  </si>
  <si>
    <t>Một số bộ phận, đơn vị chức năng tuân thủ theo các quy tắc được thiết lập trong cấu trúc quản trị.</t>
  </si>
  <si>
    <t>Hầu hết các bộ phận, đơn vị chức năng tuân thủ các quy tắc được thiết lập trong cấu trúc quản trị.</t>
  </si>
  <si>
    <t>Toàn bộ doanh nghiệp tuân thủ các quy tắc được thiết lập trong cơ cấu quản trị.</t>
  </si>
  <si>
    <t>Toàn bộ doanh nghiệp và các đối tác trong hệ sinh thái của doanh nghiệp tuân thủ các quy tắc được thiết lập trong cơ cấu quản trị.</t>
  </si>
  <si>
    <t>2.1.3</t>
  </si>
  <si>
    <t>Chỉ số đo lường thương hiệu</t>
  </si>
  <si>
    <t>Chỉ số phản ánh hoạt động của thương hiệu số được đo lường theo sự vụ.</t>
  </si>
  <si>
    <t>Có một quy trình được thực hiện ở một số bộ phận, đơn vị chức năng để đo lường chỉ số phản ánh hoạt động của thương hiệu số.</t>
  </si>
  <si>
    <t>Có một quy trình được áp dụng trên hầu hết các bộ phận, đơn vị chức năng để đo lường chỉ số phản ánh hoạt động của thương hiệu số.</t>
  </si>
  <si>
    <t>Có một quy trình hiệu quả trong toàn bộ doanh nghiệp để đo lường chỉ số phản ánh hoạt động của thương hiệu số.</t>
  </si>
  <si>
    <t>Có một quy trình hiệu quả được áp dụng trong toàn bộ doanh nghiệp và các đối tác trong hệ sinh thái của doanh nghiệp để đo lường chỉ số phản ánh hoạt động của thương hiệu số.</t>
  </si>
  <si>
    <t>2.1.4</t>
  </si>
  <si>
    <t>Chiến lược tiếp thị</t>
  </si>
  <si>
    <t>Định hướng ứng dụng MarTech và hành trình tiếp thị tự động trong chiến lược bán lẻ số; gắn với chiến lược cá nhân hóa bằng AI/Big Data.</t>
  </si>
  <si>
    <t>https://diendandoanhnghiep.vn/print/10159601.html</t>
  </si>
  <si>
    <t>Chiến lược tiếp thị số chưa phù hợp với chiến lược tổng thể.</t>
  </si>
  <si>
    <t>Một số bộ phận, đơn vị chức năng có chiến lược tiếp thị số phù hợp với chiến lược tổng thể.</t>
  </si>
  <si>
    <t>Hầu hết các bộ phận, đơn vị chức năng đều có chiến lược tiếp thị số phù hợp với chiến lược tổng thể.</t>
  </si>
  <si>
    <t>Toàn bộ doanh nghiệp có chiến lược tiếp thị số phù hợp với chiến lược tổng thể.</t>
  </si>
  <si>
    <t>Toàn bộ doanh nghiệp và các đối tác trong hệ sinh thái của doanh nghiệp thống nhất về chiến lược tiếp thị số phù hợp với chiến lược hệ sinh thái tổng thể.</t>
  </si>
  <si>
    <t>Quản lý hệ sinh thái</t>
  </si>
  <si>
    <t>2.2.1</t>
  </si>
  <si>
    <t>Hệ sinh thái kinh doanh</t>
  </si>
  <si>
    <t>Chiến lược 2026–2030 xác định xây dựng hệ sinh thái tài chính toàn diện, kết nối khách hàng doanh nghiệp và cá nhân; các công ty con là một phần của hệ sinh thái.</t>
  </si>
  <si>
    <t>18-19</t>
  </si>
  <si>
    <t>Doanh nghiệp chưa nhận thức được giá trị kinh doanh của việc tham gia hệ sinh thái.</t>
  </si>
  <si>
    <t>Doanh nghiệp thể hiện sự hiểu biết một phần về giá trị của việc tham gia hệ sinh thái và vai trò của doanh nghiệp trong đó.</t>
  </si>
  <si>
    <t>Doanh nghiệp thể hiện sự hiểu biết đầy đủ về giá trị của việc tham gia hệ sinh thái và vai trò của doanh nghiệp trong đó.</t>
  </si>
  <si>
    <t>Doanh nghiệp thể hiện sự hiểu biết đầy đủ về giá trị và đã bắt đầu xác định chiến lược tham gia hệ sinh thái và vai trò của doanh nghiệp trong đó.</t>
  </si>
  <si>
    <t>Doanh nghiệp thể hiện sự hiểu biết đầy đủ về giá trị của việc tham gia hệ sinh thái và đã xác định chiến lược hệ sinh thái và vai trò của doanh nghiệp trong đó.</t>
  </si>
  <si>
    <t>2.2.2</t>
  </si>
  <si>
    <t>Thiết kế hệ sinh thái</t>
  </si>
  <si>
    <t>Thiết kế hệ sinh thái với thẻ, ví điện tử, thanh toán hiện đại; phối hợp công ty con; mở kết nối với Fintech và đối tác thanh toán.</t>
  </si>
  <si>
    <t>18-19; web</t>
  </si>
  <si>
    <t>Doanh nghiệp chưa bắt đầu thiết kế hệ sinh thái.</t>
  </si>
  <si>
    <t>Doanh nghiệp đã bắt đầu thiết kế các hệ sinh thái để thúc đẩy chiến lược của mình.</t>
  </si>
  <si>
    <t>Doanh nghiệp đã thiết kế các hệ sinh thái để thúc đẩy chiến lược của mình nhằm gia tăng các dòng giá trị hiện có.</t>
  </si>
  <si>
    <t>Doanh nghiệp đã thiết kế các hệ sinh thái bền vững và mở rộng chiến lược của mình để tập trung vượt ra ngoài lĩnh vực hoạt động, mở ra các luồng giá trị mới.</t>
  </si>
  <si>
    <t>Doanh nghiệp đã thiết kế các hệ sinh thái bền vững và mở rộng chiến lược của mình bằng cách triển khai các năng lực liên ngành cho phép tạo ra các luồng giá trị mới.</t>
  </si>
  <si>
    <t>2.2.3</t>
  </si>
  <si>
    <t>Lựa chọn đối tác</t>
  </si>
  <si>
    <t>Chọn đối tác chiến lược toàn ngân hàng; hợp tác V-Green (gói tín dụng 4.000 tỷ đồng), Visa (Metro Cát Linh–Hà Đông), MUFG, ADB/PwC.</t>
  </si>
  <si>
    <t>18-19; 32-35; 38-39</t>
  </si>
  <si>
    <t>Doanh nghiệp chưa chọn đối tác như một phần của hệ sinh thái.</t>
  </si>
  <si>
    <t>Doanh nghiệp đã chọn các đối tác hệ sinh thái để hỗ trợ chiến lược của mình.</t>
  </si>
  <si>
    <t>Doanh nghiệp đã thiết lập quan hệ đối tác hệ sinh thái đang hỗ trợ chiến lược của mình.</t>
  </si>
  <si>
    <t>Doanh nghiệp đã thiết lập quan hệ đối tác hệ sinh thái tối ưu nâng cao chiến lược của mình ngoài ngành truyền thống (ngành lĩnh vực đang hoạt động của doanh nghiệp).</t>
  </si>
  <si>
    <t>Doanh nghiệp đã thiết lập quan hệ đối tác hệ sinh thái tối ưu và triển khai các năng lực liên ngành, tạo điều kiện cho các luồng giá trị mới.</t>
  </si>
  <si>
    <t>Bảo trợ tài chính</t>
  </si>
  <si>
    <t>2.3.1</t>
  </si>
  <si>
    <t>Ngân sách cho chuyển đổi số</t>
  </si>
  <si>
    <t>Chi phí được ưu tiên cho kinh doanh, chuyển đổi số và dự án trọng điểm (CIR 27% Q1/2025); đầu tư hiện đại hóa hạ tầng công nghệ, dữ liệu; 45 sáng kiến năm 2024 và thêm 35 sáng kiến mới 2025 (X01); thành lập Khối Dữ liệu và AI. Chương trình CĐS 2023-2025, tầm nhìn 2030. Không công bố số tiền ngân sách CĐS; chưa chứng minh ngân sách 'linh hoạt' trên hầu hết đơn vị.</t>
  </si>
  <si>
    <t>https://www.sggp.org.vn/vietinbank-quy-1-2025-buoc-tien-vung-chac-trong-hieu-qua-kinh-doanh-va-chuyen-doi-so-post795545.html; https://vneconomy.vn/vietinbank-chuyen-doi-so-de-vuon-minh-trong-ky-nguyen-moi.htm; https://vnbusiness.vn/vietinbank-hien-thuc-hoa-muc-tieu-tro-thanh-ngan-hang-so-hang-dau.html</t>
  </si>
  <si>
    <t>Doanh nghiệp chưa có ngân sách cho chuyển đổi số.</t>
  </si>
  <si>
    <t>Ngân sách sẵn có và linh hoạt để chuyển đổi số ở một số bộ phận, đơn vị chức năng.</t>
  </si>
  <si>
    <t>Ngân sách sẵn có và linh hoạt để chuyển đổi số trên hầu hết các bộ phận, đơn vị chức năng.</t>
  </si>
  <si>
    <t>Ngân sách luôn sẵn sàng và linh hoạt để chuyển đổi số trên toàn bộ doanh nghiệp.</t>
  </si>
  <si>
    <t>Ngân sách luôn sẵn sàng và linh hoạt để chuyển đổi số trên toàn bộ doanh nghiệp và các đối tác trong hệ sinh thái của doanh nghiệp.</t>
  </si>
  <si>
    <t>2.3.2</t>
  </si>
  <si>
    <t>Đo lường hiệu quả đầu tư</t>
  </si>
  <si>
    <t>Sáng kiến CĐS phân loại Monetisers/Enablers/Capacity Builders (sáng kiến mới 2026: 55%/37%/8%); mục tiêu doanh thu số 30–35% TOI năm 2028.</t>
  </si>
  <si>
    <t>KPI đánh giá các quyết định đầu tư chỉ được thiết lập theo sự vụ.</t>
  </si>
  <si>
    <t>Một số bộ phận, đơn vị chức năng có sẵn KPIs để đánh giá các quyết định đầu tư.</t>
  </si>
  <si>
    <t>Hầu hết bộ phận, đơn vị chức năng sử dụng KPIs để đánh giá các quyết định đầu tư.</t>
  </si>
  <si>
    <t>KPI để đánh giá các quyết định đầu tư được sử dụng trên toàn bộ doanh nghiệp.</t>
  </si>
  <si>
    <t>KPI để đánh giá các quyết định đầu tư được sử dụng trên toàn bộ doanh nghiệp và các đối tác trong hệ sinh thái của doanh nghiệp.</t>
  </si>
  <si>
    <t>2.3.3</t>
  </si>
  <si>
    <t>Đầu tư cải tiến liên tục</t>
  </si>
  <si>
    <t>Chuyển từ triển khai sáng kiến đơn lẻ sang chuẩn hóa, nâng hiệu quả sáng kiến CĐS; điều chỉnh trọng tâm năm 2026 theo kết quả 2025.</t>
  </si>
  <si>
    <t>Quyết định đầu tư chưa được cải thiện dựa trên kết quả trong quá khứ.</t>
  </si>
  <si>
    <t>Quyết định đầu tư được cải thiện tại một số bộ phận, đơn vị chức năng.</t>
  </si>
  <si>
    <t>Các quyết định đầu tư liên tục được cải thiện trên hầu hết các bộ phận, đơn vị chức năng.</t>
  </si>
  <si>
    <t>Các quyết định đầu tư liên tục được cải thiện trong toàn doanh nghiệp.</t>
  </si>
  <si>
    <t>Các quyết định đầu tư liên tục được cải thiện trong toàn doanh nghiệp và các đối tác trong hệ sinh thái của nó.</t>
  </si>
  <si>
    <t>Hiểu biết về thị trường</t>
  </si>
  <si>
    <t>2.4.1</t>
  </si>
  <si>
    <t>Đánh giá xu hướng ngành</t>
  </si>
  <si>
    <t>Nghiên cứu bối cảnh, xu hướng ngành và thực tiễn các ngân hàng trong và ngoài nước; chiến lược tận dụng cơ hội thị trường, công nghệ mới và chính sách.</t>
  </si>
  <si>
    <t>18-19; 24-25</t>
  </si>
  <si>
    <t>Đánh giá xu hướng ngành chỉ được thực hiện theo sự vụ.</t>
  </si>
  <si>
    <t>Một số bộ phận, đơn vị chức năng đánh giá xu hướng ngành để thúc đẩy chiến lược số của họ.</t>
  </si>
  <si>
    <t>Hầu hết các bộ phận, đơn vị chức năng đánh giá xu hướng ngành để thúc đẩy chiến lược số của họ.</t>
  </si>
  <si>
    <t>Toàn bộ doanh nghiệp đánh giá xu hướng ngành để thúc đẩy chiến lược số của mình.</t>
  </si>
  <si>
    <t>Toàn bộ doanh nghiệp và các đối tác trong hệ sinh thái của doanh nghiệp đánh giá xu hướng ngành để thúc đẩy chiến lược số của họ.</t>
  </si>
  <si>
    <t>2.4.2</t>
  </si>
  <si>
    <t>Đánh giá nhu cầu của khách hàng</t>
  </si>
  <si>
    <t>Dùng Big Data hiểu hành vi, nhu cầu khách hàng để thiết kế dịch vụ cá nhân hóa, ưu tiên mục tiêu trở thành ngân hàng chính của khách hàng.</t>
  </si>
  <si>
    <t>Phân tích nhu cầu của khách hàng chỉ được thực hiện theo sự vụ.</t>
  </si>
  <si>
    <t>Một số bộ phận, đơn vị chức năng phân tích nhu cầu của khách hàng để thúc đẩy chiến lược số của họ.</t>
  </si>
  <si>
    <t>Hầu hết các bộ phận, đơn vị chức năng phân tích nhu cầu của khách hàng để thúc đẩy chiến lược số của họ.</t>
  </si>
  <si>
    <t>Toàn bộ doanh nghiệp phân tích và dự đoán nhu cầu của khách hàng để thúc đẩy chiến lược số của mình.</t>
  </si>
  <si>
    <t>Toàn bộ doanh nghiệp và các đối tác trong hệ sinh thái của mình phân tích và dự đoán nhu cầu của khách hàng để thúc đẩy chiến lược số của họ.</t>
  </si>
  <si>
    <t>2.4.3</t>
  </si>
  <si>
    <t>Đánh giá mạng lưới giá trị</t>
  </si>
  <si>
    <t>Đánh giá kết cấu giá trị chỉ được thực hiện theo sự vụ.</t>
  </si>
  <si>
    <t>Một số bộ phận, đơn vị chức năng phân tích mạng lưới giá trị để thúc đẩy chiến lược số của họ.</t>
  </si>
  <si>
    <t>Hầu hết các bộ phận, đơn vị chức năng phân tích mạng lưới giá trị để thúc đẩy chiến lược số của họ.</t>
  </si>
  <si>
    <t>Toàn bộ doanh nghiệp phân tích và dự đoán mạng lưới giá trị để thúc đẩy chiến lược số của mình.</t>
  </si>
  <si>
    <t>Toàn bộ doanh nghiệp và các đối tác trong hệ sinh thái của doanh nghiệp phân tích và dự đoán mạng lưới giá trị để thúc đẩy chiến lược số của họ.</t>
  </si>
  <si>
    <t>Quản lý danh mục sản phẩm, dịch vụ số</t>
  </si>
  <si>
    <t>2.5.1</t>
  </si>
  <si>
    <t>Cân đối danh mục sản phẩm và dịch vụ</t>
  </si>
  <si>
    <t>Đa dạng nguồn thu, tăng thu dịch vụ (tài trợ thương mại, ngoại hối, bảo lãnh, thẻ, bảo hiểm); sáng kiến CĐS mới được cân đối giữa các nhóm.</t>
  </si>
  <si>
    <t>Cân bằng danh mục đầu tư chỉ được thực hiện theo sự vụ.</t>
  </si>
  <si>
    <t>Một số bộ phận, đơn vị chức năng có danh mục sản phẩm và dịch vụ số phù hợp một phần với chiến lược của doanh nghiệp.</t>
  </si>
  <si>
    <t>Hầu hết các bộ phận, đơn vị chức năng đều có danh mục sản phẩm và dịch vụ số cân bằng, phù hợp nhất với chiến lược của doanh nghiệp.</t>
  </si>
  <si>
    <t>Toàn bộ doanh nghiệp có một danh mục sản phẩm và dịch vụ số cân bằng phù hợp nhất với chiến lược của mình.</t>
  </si>
  <si>
    <t>Toàn bộ doanh nghiệp và các đối tác trong hệ sinh thái của doanh nghiệp có một danh mục sản phẩm và dịch vụ số cân bằng, phù hợp nhất với chiến lược chung của mình.</t>
  </si>
  <si>
    <t>2.5.2</t>
  </si>
  <si>
    <t>Lộ trình danh mục sản phẩm và dịch vụ</t>
  </si>
  <si>
    <t>Chiến lược phát triển 2026–2030; lộ trình CĐS X01; dự kiến hoàn thành cơ bản 108 sáng kiến, sớm hơn kế hoạch 2 năm.</t>
  </si>
  <si>
    <t>Lộ trình danh mục đầu tư chỉ được thực hiện theo sự vụ.</t>
  </si>
  <si>
    <t>Một số bộ phận, đơn vị chức năng có lộ trình danh mục sản phẩm và dịch vụ số phù hợp một phần với chiến lược của doanh nghiệp.</t>
  </si>
  <si>
    <t>Hầu hết các bộ phận, đơn vị chức năng đều có lộ trình danh mục sản phẩm và dịch vụ số phù hợp nhất với chiến lược của doanh nghiệp.</t>
  </si>
  <si>
    <t>Toàn bộ doanh nghiệp có lộ trình danh mục sản phẩm và dịch vụ số phù hợp nhất với chiến lược của mình.</t>
  </si>
  <si>
    <t>Doanh nghiệp và các đối tác trong hệ sinh thái của doanh nghiệp có một lộ trình danh mục các sản phẩm và dịch vụ số phù hợp nhất với chiến lược chung của mình.</t>
  </si>
  <si>
    <t>2.5.3</t>
  </si>
  <si>
    <t>Đổi mới danh mục sản phẩm và dịch vụ</t>
  </si>
  <si>
    <t>Khuyến khích cán bộ đề xuất sáng kiến mới (liên tục nuôi dưỡng nguồn sáng kiến); 8 Trung tâm xuất sắc (CoE); có Khối Digital Factory trong sơ đồ tổ chức; năm 2025 nhận 5 Giải Sao Khuê.</t>
  </si>
  <si>
    <t>https://investor.vietinbank.vn/documents/20126/a90d3d14-49e7-6f23-0e6c-7625baf56018; https://theleader.vn/vietinbank-chuyen-doi-so-de-vuon-minh-trong-ky-nguyen-moi-d40004.html</t>
  </si>
  <si>
    <t>14-15; 46-47; web</t>
  </si>
  <si>
    <t>Đổi mới danh mục đầu tư chỉ được thực hiện theo sự vụ.</t>
  </si>
  <si>
    <t>Một số bộ phận, đơn vị chức năng có quy trình đổi mới danh mục sản phẩm và dịch vụ phù hợp một phần với chiến lược của doanh nghiệp.</t>
  </si>
  <si>
    <t>Hầu hết các bộ phận, đơn vị chức năng đều có quy trình đổi mới danh mục sản phẩm và dịch vụ phù hợp với chiến lược của doanh nghiệp.</t>
  </si>
  <si>
    <t>Toàn bộ doanh nghiệp có một quy trình đổi mới danh mục sản phẩm và dịch vụ phù hợp nhất với chiến lược của mình.</t>
  </si>
  <si>
    <t>Toàn bộ doanh nghiệp và các đối tác trong hệ sinh thái của doanh nghiệp có một quy trình đổi mới danh mục sản phẩm và dịch vụ phù hợp nhất với chiến lược chung của mình.</t>
  </si>
  <si>
    <t>Quản lý chiến lược</t>
  </si>
  <si>
    <t>2.6.1</t>
  </si>
  <si>
    <t>Chiến lược phù hợp với tầm nhìn</t>
  </si>
  <si>
    <t>Tầm nhìn đến 2030 và 2045; Chiến lược phát triển 2026–2030 cụ thể hóa thành các định hướng trọng tâm từng năm.</t>
  </si>
  <si>
    <t>16-19</t>
  </si>
  <si>
    <t>Doanh nghiệp chưa có tầm nhìn rõ ràng.</t>
  </si>
  <si>
    <t>Doanh nghiệp có một tầm nhìn và đang bắt đầu phát triển một chiến lược phù hợp.</t>
  </si>
  <si>
    <t>Doanh nghiệp có một chiến lược rõ ràng hầu hết phù hợp với tầm nhìn.</t>
  </si>
  <si>
    <t>Doanh nghiệp có một chiến lược rõ ràng hoàn toàn phù hợp với tầm nhìn.</t>
  </si>
  <si>
    <t>Doanh nghiệp và các đối tác trong hệ sinh thái của doanh nghiệp có một chiến lược rõ ràng hoàn toàn phù hợp với tầm nhìn.</t>
  </si>
  <si>
    <t>2.6.2</t>
  </si>
  <si>
    <t>Đồng bộ giữa các nhóm kinh doanh/nghiệp vụ và kỹ thuật</t>
  </si>
  <si>
    <t>Vận hành 8 CoE, mở rộng mô hình làm việc Agile; Ủy ban CNTT và Ủy ban Chiến lược cùng điều phối chuyển đổi.</t>
  </si>
  <si>
    <t>14-15; 46-47</t>
  </si>
  <si>
    <t>Hoạt động phối hợp xây dựng chiến lược doanh nghiệp giữa bộ phận (kinh doanh, kỹ thuật, khách hàng...) thuật chỉ được thực hiện theo sự vụ.</t>
  </si>
  <si>
    <t>Chiến lược doanh nghiệp đang bắt đầu được đồng phát triển giữa các nhóm kinh doanh/ nghiệp vụ và công nghệ.</t>
  </si>
  <si>
    <t>Chiến lược doanh nghiệp được đồng phát triển giữa các nhóm kinh doanh/nghiệp vụ và công nghệ trên các bộ phận, đơn vị chức năng cốt lõi.</t>
  </si>
  <si>
    <t>Chiến lược doanh nghiệp liên tục được tối ưu hóa giữa các nhóm nhóm kinh doanh/ nghiệp vụ và công nghệ trong toàn doanh nghiệp.</t>
  </si>
  <si>
    <t>Chiến lược doanh nghiệp liên tục được tối ưu hóa giữa các nhóm kinh doanh/ nghiệp vụ và công nghệ trong toàn doanh nghiệp và các đối tác trong hệ sinh thái của doanh nghiệp.</t>
  </si>
  <si>
    <t>2.6.3</t>
  </si>
  <si>
    <t>Đo lường các chỉ số</t>
  </si>
  <si>
    <t>Mục tiêu doanh thu số 30–35% TOI năm 2028; đưa MAU iPay/eFAST vào đánh giá giám đốc chi nhánh; kỳ vọng giao dịch online thường xuyên tăng 20–30% so với 2025.</t>
  </si>
  <si>
    <t>Đo lường hiệu quả cho các mục tiêu chiến lược chỉ được thực hiện theo sự vụ.</t>
  </si>
  <si>
    <t>Một số bộ phận, đơn vị chức năng thực hiện các biện pháp đo lường kết quả các mục tiêu chiến lược.</t>
  </si>
  <si>
    <t>Hầu hết các bộ phận, đơn vị chức năng thực hiện toàn diện các biện pháp để đo lường kết quả các mục tiêu chiến lược.</t>
  </si>
  <si>
    <t>Toàn bộ các bộ phận, đơn vị chức năng thực hiện toàn diện các biện pháp phù hợp để đo lường kết quả các mục tiêu chiến lược.</t>
  </si>
  <si>
    <t>Toàn bộ các bộ phận, đơn vị chức năng và đối tác trong hệ sinh thái thực hiện toàn diện các biện pháp phù hợp để đo lường kết quả các mục tiêu chiến lược.</t>
  </si>
  <si>
    <t>2.6.4</t>
  </si>
  <si>
    <t>Quản lý rủi ro</t>
  </si>
  <si>
    <t>Chiến lược phát triển năng lực quản trị rủi ro 2026: kiểm soát chất lượng tín dụng, mô hình ba tuyến phòng thủ, công cụ RORA, ứng phó rủi ro công nghệ.</t>
  </si>
  <si>
    <t>18-19; 40-41</t>
  </si>
  <si>
    <t>Doanh nghiệp chưa có chiến lược quản lý rủi ro rõ ràng.</t>
  </si>
  <si>
    <t>Một chiến lược quản lý rủi ro đang bắt đầu được phát triển ở một số bộ phận, đơn vị chức năng.</t>
  </si>
  <si>
    <t>Một chiến lược quản lý rủi ro được áp dụng trên hầu hết các bộ phận, đơn vị chức năng.</t>
  </si>
  <si>
    <t>Một chiến lược quản lý rủi ro được thông qua bởi doanh nghiệp.</t>
  </si>
  <si>
    <t>Một chiến lược quản lý rủi ro chung được thông qua bởi doanh nghiệp và các đối tác hệ sinh thái của doanh nghiệp.</t>
  </si>
  <si>
    <t>2.6.5</t>
  </si>
  <si>
    <t>Lộ trình chuyển đổi</t>
  </si>
  <si>
    <t>Lộ trình CĐS X01 theo giai đoạn: 2024 'tạo đà', 2025 'tăng tốc' (&gt;90 sáng kiến), 2026 'hòa nhịp'; mục tiêu số 2028.</t>
  </si>
  <si>
    <t>https://investor.vietinbank.vn/documents/20126/a90d3d14-49e7-6f23-0e6c-7625baf56018; https://thanhtra.com.vn/doanh-nghiep-70CE54C31/vietinbank-quy-12025-buoc-tien-vung-chac-trong-hieu-qua-kinh-doanh-va-chuyen-doi-so-50859db40.html; https://thitruongtaichinhtiente.vn/vietinbank-du-lieu-lam-nen-tang-ai-lam-dong-luc-chuyen-doi-so-84986.html</t>
  </si>
  <si>
    <t>46-47; web</t>
  </si>
  <si>
    <t>Doanh nghiệp chưa có lộ trình chuyển đổi rõ ràng.</t>
  </si>
  <si>
    <t>Một số bộ phận, đơn vị chức năng đang thực hiện lộ trình chuyển đổi</t>
  </si>
  <si>
    <t>Hầu hết các bộ phận, đơn vị chức năng đang thực hiện một lộ trình chuyển đổi nhất quán.</t>
  </si>
  <si>
    <t>Toàn bộ doanh nghiệp đang thực hiện một lộ trình chuyển đổi nhất quán.</t>
  </si>
  <si>
    <t>Toàn bộ doanh nghiệp và các đối tác trong hệ sinh thái của doanh nghiệp đang thực hiện một lộ trình chuyển đổi nhất quán.</t>
  </si>
  <si>
    <t>2.6.6</t>
  </si>
  <si>
    <t>Áp dụng chiến lược chuyển đổi số</t>
  </si>
  <si>
    <t>CĐS là nhiệm vụ trung tâm toàn ngân hàng với 4 trụ cột; năm 2025 triển khai &gt;90 sáng kiến (64 chính thức, 36 nhân rộng); đưa MAU vào KPI chi nhánh.</t>
  </si>
  <si>
    <t>https://investor.vietinbank.vn/documents/20126/a90d3d14-49e7-6f23-0e6c-7625baf56018; https://thanhtra.com.vn/doanh-nghiep-70CE54C31/vietinbank-quy-12025-buoc-tien-vung-chac-trong-hieu-qua-kinh-doanh-va-chuyen-doi-so-50859db40.html</t>
  </si>
  <si>
    <t>Truyền thông về chiến lược chuyển đổi số chưa được hiểu rõ.</t>
  </si>
  <si>
    <t>Chiến lược số được áp dụng ở một số bộ phận, đơn vị chức năng.</t>
  </si>
  <si>
    <t>Chiến lược số được áp dụng đầy đủ trên hầu hết các bộ phận, đơn vị chức năng.</t>
  </si>
  <si>
    <t>Chiến lược số được áp dụng đầy đủ trong toàn doanh nghiệp.</t>
  </si>
  <si>
    <t>Chiến lược số được chấp nhận hoàn toàn trong toàn doanh nghiệp và các đối tác trong hệ sinh thái của doanh nghiệp.</t>
  </si>
  <si>
    <t>2.6.7</t>
  </si>
  <si>
    <t>Quản trị chuyển đổi</t>
  </si>
  <si>
    <t>Chương trình X01 với 4 trụ cột (Số hóa, Dữ liệu, Công nghệ, Con người &amp; Tổ chức), 8 CoE; Ban Chiến lược &amp; Quản lý thay đổi tham gia Ban chỉ đạo phát triển bền vững.</t>
  </si>
  <si>
    <t>24-25; 46-47; web</t>
  </si>
  <si>
    <t>Quản trị chuyển đổi chỉ được thực hiện theo sự vụ.</t>
  </si>
  <si>
    <t>Một số bộ phận, đơn vị chức năng đã áp dụng mô hình quản trị chuyển đổi số chung.</t>
  </si>
  <si>
    <t>Hầu hết các bộ phận, đơn vị chức năng đã áp dụng một mô hình quản trị chuyển đổi số chung.</t>
  </si>
  <si>
    <t>Toàn bộ doanh nghiệp đã áp dụng một mô hình quản trị chuyển đổi số phổ biến và mạnh mẽ.</t>
  </si>
  <si>
    <t>Toàn bộ doanh nghiệp và các đối tác trong hệ sinh thái của doanh nghiệp đã áp dụng mô hình quản trị chuyển đổi số nhất quán và mạnh mẽ.</t>
  </si>
  <si>
    <t>2.6.8</t>
  </si>
  <si>
    <t>Nhận diện và áp dụng các bài học thành công</t>
  </si>
  <si>
    <t>Chuẩn hóa và nhân rộng năng lực CĐS qua 8 CoE, chuẩn hóa phương pháp phát triển sản phẩm số; chuyển từ thử nghiệm sang chuẩn hóa.</t>
  </si>
  <si>
    <t>https://investor.vietinbank.vn/documents/20126/a90d3d14-49e7-6f23-0e6c-7625baf56018; https://thitruongtaichinhtiente.vn/vietinbank-du-lieu-lam-nen-tang-ai-lam-dong-luc-chuyen-doi-so-84986.html</t>
  </si>
  <si>
    <t>Việc áp dụng thông lệ tốt nhất chỉ được thực hiện theo sự vụ.</t>
  </si>
  <si>
    <t>Một số bộ phận, đơn vị chức năng xác định và khuyến khích áp dụng các thông lệ tốt nhất (best practices).</t>
  </si>
  <si>
    <t>Hầu hết các bộ phận, đơn vị chức năng tích cực xác định và khuyến khích áp dụng các thông lệ tốt nhất.</t>
  </si>
  <si>
    <t>Toàn bộ doanh nghiệp tích cực xác định và khuyến khích áp dụng các thông lệ tốt nhất.</t>
  </si>
  <si>
    <t>Toàn bộ doanh nghiệp và các đối tác trong hệ sinh thái của doanh nghiệp tích cực xác định và khuyến khích áp dụng các thông lệ tốt nhất.</t>
  </si>
  <si>
    <t>Quản trị công nghệ</t>
  </si>
  <si>
    <t>3.1.1</t>
  </si>
  <si>
    <t>Khung quản trị công nghệ</t>
  </si>
  <si>
    <t>Có Ủy ban CNTT và Khối CNTT; triển khai hệ thống quản trị CNTT (ITSM, CMDB, SSO&amp;MFA) để nâng hiệu quả vận hành và an toàn hệ thống.</t>
  </si>
  <si>
    <t>Một khung quản trị công nghệ chưa được áp dụng chính thức.</t>
  </si>
  <si>
    <t>Một khung quản trị công nghệ đang được áp dụng ở một số bộ phận, đơn vị chức năng.</t>
  </si>
  <si>
    <t>Một khung quản trị công nghệ đang được áp dụng trên hầu hết các bộ phận, đơn vị chức năng.</t>
  </si>
  <si>
    <t>Một khung quản trị công nghệ đang được áp dụng trong toàn doanh nghiệp.</t>
  </si>
  <si>
    <t>Một khung quản trị công nghệ đang được áp dụng trên toàn doanh nghiệp và các đối tác trong hệ sinh thái của doanh nghiệp.</t>
  </si>
  <si>
    <t>3.1.2</t>
  </si>
  <si>
    <t>Tiêu chuẩn ngành</t>
  </si>
  <si>
    <t>Hoàn tất tối ưu SWIFT, tuân thủ chuẩn ISO 20022; hiện đại hóa hạ tầng thanh toán.</t>
  </si>
  <si>
    <t>Việc sử dụng các tiêu chuẩn ngành được thực hiện theo sự vụ và chưa tính đến lợi ích kinh doanh.</t>
  </si>
  <si>
    <t>Các tiêu chuẩn ngành có liên quan được sử dụng một phần để tối đa hóa lợi ích kinh doanh.</t>
  </si>
  <si>
    <t>Các tiêu chuẩn ngành có liên quan được tận dụng tối đa để tối đa hóa lợi ích kinh doanh.</t>
  </si>
  <si>
    <t>Doanh nghiệp sử dụng đầy đủ và đóng góp vào các tiêu chuẩn ngành có liên quan.</t>
  </si>
  <si>
    <t>Doanh nghiệp và các đối tác trong hệ sinh thái của doanh nghiệp tận dụng triệt để và đóng góp vào các tiêu chuẩn ngành có liên quan .</t>
  </si>
  <si>
    <t>3.1.3</t>
  </si>
  <si>
    <t>Quản lý môi trường</t>
  </si>
  <si>
    <t>CĐS nhằm giảm phát thải từ hoạt động nội bộ; số hóa giảm giấy tờ; lắp điện mặt trời mái nhà tại 34 chi nhánh/đơn vị; không bị phạt vi phạm môi trường.</t>
  </si>
  <si>
    <t>20-21; 58-61</t>
  </si>
  <si>
    <t>Doanh nghiệp ít hoặc chưa xem xét đến tác động môi trường của các hoạt động công nghệ.</t>
  </si>
  <si>
    <t>Một số bộ phận, đơn vị chức năng xem xét tác động đến môi trường từ các hoạt động công nghệ của họ.</t>
  </si>
  <si>
    <t>Hầu hết các bộ phận, đơn vị chức năng quản lý tác động đến môi trường của các hoạt động công nghệ của họ.</t>
  </si>
  <si>
    <t>Doanh nghiệp chủ động quản lý tác động đến môi trường của các hoạt động công nghệ của mình.</t>
  </si>
  <si>
    <t>Doanh nghiệp và các đối tác trong hệ sinh thái của mình chủ động quản lý tác động đối với môi trường của các hoạt động công nghệ của họ.</t>
  </si>
  <si>
    <t>3.1.4</t>
  </si>
  <si>
    <t>Quản lý năng lượng</t>
  </si>
  <si>
    <t>Tiết kiệm bình quân 180 kWh/người tại Hội sở (tương đương 2,7 tỷ đồng); điện mặt trời tại 34 đơn vị (&gt;2.000 kWh/tháng); đang nghiên cứu kiểm toán năng lượng.</t>
  </si>
  <si>
    <t>58-61</t>
  </si>
  <si>
    <t>Việc xem xét quản lý năng lượng được thực hiện theo sự vụ.</t>
  </si>
  <si>
    <t>Một số bộ phận, đơn vị chức năng quản lý tác động kinh tế của tiêu thụ năng lượng.</t>
  </si>
  <si>
    <t>Hầu hết các bộ phận, đơn vị chức năng quản lý tác động kinh tế của việc tiêu thụ năng lượng.</t>
  </si>
  <si>
    <t>Doanh nghiệp chủ động quản lý tác động kinh tế của việc tiêu thụ năng lượng.</t>
  </si>
  <si>
    <t>Doanh nghiệp và các đối tác hệ sinh thái của doanh nghiệp chủ động quản lý tác động kinh tế của việc tiêu thụ năng lượng.</t>
  </si>
  <si>
    <t>3.1.5</t>
  </si>
  <si>
    <t>Công nghệ mới</t>
  </si>
  <si>
    <t>Ứng dụng AI, Cloud, Blockchain; hơn 1.100 AI Agent vận hành trên nền tảng MyGenie trong 5 tháng; cuộc thi AI Workup nhận 28.830 ý tưởng.</t>
  </si>
  <si>
    <t>https://investor.vietinbank.vn/documents/20126/a90d3d14-49e7-6f23-0e6c-7625baf56018; https://diendandoanhnghiep.vn/print/10159601.html; https://thitruongtaichinhtiente.vn/vietinbank-du-lieu-lam-nen-tang-ai-lam-dong-luc-chuyen-doi-so-84986.html</t>
  </si>
  <si>
    <t>36-37; 46-47; web</t>
  </si>
  <si>
    <t>Doanh nghiệp ít hoặc chưa quan tâm đến các công nghệ mới.</t>
  </si>
  <si>
    <t>Một số bộ phận, đơn vị chức năng đã tích cực áp dụng các công nghệ mới cho hoạt động kinh doanh của họ.</t>
  </si>
  <si>
    <t>Doanh nghiệp đã tích cực áp dụng các công nghệ mới cho hoạt động kinh doanh.</t>
  </si>
  <si>
    <t>Doanh nghiệp đang chủ động tìm kiếm (scan) các công nghệ mới và hoạt động kinh doanh của họ.</t>
  </si>
  <si>
    <t>Doanh nghiệp và các đối tác trong hệ sinh thái của doanh nghiệp đang chủ động tìm kiếm các công nghệ mới và hoạt động kinh doanh của họ.</t>
  </si>
  <si>
    <t>Kiến trúc công nghệ và ứng dụng</t>
  </si>
  <si>
    <t>3.2.1</t>
  </si>
  <si>
    <t>Chiến lược/lộ trình công nghệ</t>
  </si>
  <si>
    <t>Trụ cột Công nghệ trong X01: nâng cấp nền tảng, Cloud, DevSecOps, microservices/API; hiện đại hóa Core Banking và hạ tầng thanh toán gắn với chiến lược kinh doanh.</t>
  </si>
  <si>
    <t>Lộ trình công nghệ chưa phù hợp với chiến lược kinh doanh.</t>
  </si>
  <si>
    <t>Lộ trình công nghệ phù hợp một phần với chiến lược kinh doanh.</t>
  </si>
  <si>
    <t>Lộ trình công nghệ phù hợp với chiến lược kinh doanh của doanh nghiệp.</t>
  </si>
  <si>
    <t>Lộ trình công nghệ liên tục được tối ưu hóa để phù hợp và thúc đẩy chiến lược kinh doanh trong toàn doanh nghiệp.</t>
  </si>
  <si>
    <t>Lộ trình công nghệ liên tục được tối ưu hóa để phù hợp và thúc đẩy chiến lược kinh doanh trong toàn doanh nghiệp và các đối tác trong hệ sinh thái của doanh nghiệp.</t>
  </si>
  <si>
    <t>3.2.2</t>
  </si>
  <si>
    <t>Kiến trúc Microservices &amp; kiến trúc theo hướng dịch vụ (SOA - Service-Oriented Architecture)</t>
  </si>
  <si>
    <t>Chuẩn hóa microservices và API trong trụ cột Công nghệ; chưa có số liệu tỷ lệ ứng dụng áp dụng.</t>
  </si>
  <si>
    <t>Kiến trúc hướng dịch vụ được thực hiện theo sự vụ.</t>
  </si>
  <si>
    <t>Microservices đã được triển khai trong một số ứng dụng.</t>
  </si>
  <si>
    <t>Microservices được sử dụng trong hầu hết các ứng dụng và lập trình hướng sự kiện đang được triển khai.</t>
  </si>
  <si>
    <t>Microservices và lập trình hướng sự kiện được áp dụng đầy đủ trong bối cảnh ứng dụng của doanh nghiệp.</t>
  </si>
  <si>
    <t>Microservices và lập trình hướng sự kiện được áp dụng đầy đủ trong bối cảnh ứng dụng của doanh nghiệp và các đối tác trong hệ sinh thái của doanh nghiệp.</t>
  </si>
  <si>
    <t>3.2.3</t>
  </si>
  <si>
    <t>Mã nguồn mở</t>
  </si>
  <si>
    <t>Việc sử dụng nguồn mở chỉ được thực hiện theo sự vụ.</t>
  </si>
  <si>
    <t>Các giải pháp mã nguồn mở có liên quan được sử dụng một phần để tối đa hóa lợi ích kinh doanh.</t>
  </si>
  <si>
    <t>Các giải pháp mã nguồn mở có liên quan được sử dụng đầy đủ để tối đa hóa lợi ích kinh doanh.</t>
  </si>
  <si>
    <t>Doanh nghiệp sử dụng đầy đủ và đóng góp cho các giải pháp mã nguồn mở có liên quan.</t>
  </si>
  <si>
    <t>Doanh nghiệp và các đối tác hệ sinh thái của doanh nghiệp sử dụng đầy đủ và đóng góp cho các giải pháp mã nguồn mở có liên quan.</t>
  </si>
  <si>
    <t>3.2.4</t>
  </si>
  <si>
    <t>Khả năng cấu hình ứng dụng</t>
  </si>
  <si>
    <t>Các ứng dụng chủ yếu được tùy chỉnh.</t>
  </si>
  <si>
    <t>Một số ứng dụng được cấu hình linh hoạt, đáng tin cậy và nhanh chóng bởi doanh nghiệp.</t>
  </si>
  <si>
    <t>Hầu hết các ứng dụng được cấu hình linh hoạt, đáng tin cậy và nhanh chóng bởi doanh nghiệp.</t>
  </si>
  <si>
    <t>Tất cả các ứng dụng được cấu hình linh hoạt, đáng tin cậy và nhanh chóng bởi doanh nghiệp.</t>
  </si>
  <si>
    <t>Tất cả các ứng dụng đều được cấu hình linh hoạt, đáng tin cậy và nhanh chóng bởi doanh nghiệp và các đối tác trong hệ sinh thái của doanh nghiệp.</t>
  </si>
  <si>
    <t>3.2.5</t>
  </si>
  <si>
    <t>Nâng cao năng lực sử dụng điện toán đám mây (Cloud)</t>
  </si>
  <si>
    <t>Tăng cường ứng dụng Cloud trong trụ cột Công nghệ; định hướng nâng iPay thành trợ lý tài chính ứng dụng AI, Blockchain, Cloud. Chưa nêu cách tiếp cận chung toàn ngân hàng.</t>
  </si>
  <si>
    <t>Việc áp dụng các năng lực sử dụng điện toán đám mây chỉ được thực hiện theo sự vụ.</t>
  </si>
  <si>
    <t>Một số bộ phận, đơn vị chức năng đã bắt đầu xác định một cách tiếp cận chung để phát triển năng lực sử dụng điện toán đám mây của họ.</t>
  </si>
  <si>
    <t>Hầu hết các bộ phận, đơn vị chức năng đã bắt đầu xác định một cách tiếp cận chung để phát triển năng lực sử dụng điện toán đám mây của họ.</t>
  </si>
  <si>
    <t>Doanh nghiệp có một cách tiếp cận chung được cân nhắc kỹ lưỡng để phát triển năng lực sử dụng điện toán đám mây của mình nhằm tối đa hóa giá trị kinh doanh.</t>
  </si>
  <si>
    <t>Doanh nghiệp và các đối tác trong hệ sinh thái của doanh nghiệp có một cách tiếp cận chung được cân nhắc kỹ lưỡng để phát triển năng lực sử dụng điện toán đám mây của họ nhằm tối đa hóa giá trị kinh doanh.</t>
  </si>
  <si>
    <t>3.2.6</t>
  </si>
  <si>
    <t>Áp dụng API</t>
  </si>
  <si>
    <t>Chuẩn hóa API; ứng dụng API nhằm mở rộng hệ sinh thái kết nối mở với Fintech và đối tác thanh toán. Chưa thấy quy định bắt buộc API.</t>
  </si>
  <si>
    <t>Việc sử dụng API chỉ được thực hiện theo sự vụ.</t>
  </si>
  <si>
    <t>Một số bộ phận, đơn vị chức năng đã bắt đầu hỗ trợ API.</t>
  </si>
  <si>
    <t>Doanh nghiệp bắt buộc sử dụng API cho tất cả các ứng dụng mới và đang bắt đầu áp dụng các thông số kỹ thuật mở.</t>
  </si>
  <si>
    <t>Doanh nghiệp bắt buộc sử dụng API dựa trên thông số kỹ thuật mở cho tất cả các ứng dụng và đã đạt được sự áp dụng rộng rãi.</t>
  </si>
  <si>
    <t>Doanh nghiệp và các đối tác trong hệ sinh thái của doanh nghiệp bắt buộc sử dụng API dựa trên các thông số kỹ thuật mở cho tất cả các ứng dụng và đã đạt được sự áp dụng rộng rãi.</t>
  </si>
  <si>
    <t>3.2.7</t>
  </si>
  <si>
    <t>Kiến trúc công nghệ</t>
  </si>
  <si>
    <t>Vận hành Trung tâm dữ liệu Vân Canh theo chuẩn quốc tế; tối ưu Core Banking, hiện đại hóa hạ tầng thanh toán.</t>
  </si>
  <si>
    <t>38-39; 46-47</t>
  </si>
  <si>
    <t>Kiến trúc công nghệ hỗ trợ các ứng dụng được thực hiện theo sự vụ.</t>
  </si>
  <si>
    <t>Kiến trúc công nghệ hỗ trợ triển khai kịp thời một số ứng dụng.</t>
  </si>
  <si>
    <t>Kiến trúc công nghệ hỗ trợ triển khai kịp thời hầu hết các ứng dụng.</t>
  </si>
  <si>
    <t>Kiến trúc công nghệ hỗ trợ liền mạch việc triển khai kịp thời các ứng dụng trong toàn doanh nghiệp.</t>
  </si>
  <si>
    <t>Kiến trúc công nghệ hỗ trợ liền mạch việc triển khai kịp thời các ứng dụng trong toàn doanh nghiệp và các đối tác trong hệ sinh thái của doanh nghiệp.</t>
  </si>
  <si>
    <t>An toàn thông tin mạng</t>
  </si>
  <si>
    <t>3.3.1</t>
  </si>
  <si>
    <t>Bảo đảm an toàn hệ thống thông tin theo cấp độ</t>
  </si>
  <si>
    <t>Phê duyệt 80% Hồ sơ đề xuất cấp độ cho các hệ thống thông tin.</t>
  </si>
  <si>
    <t>Phê duyệt 100% Hồ sơ đề xuất cấp độ cho các hệ thống thông tin và triển khai đầy đủ phương án bảo đảm an toàn hệ thống thông tin cho 50% các HTTT.</t>
  </si>
  <si>
    <t>100% hệ thống thông tin được phê duyệt và triển khai đầy đủ phương án bảo đảm an toàn hệ thống thông tin theo cấp độ .</t>
  </si>
  <si>
    <t>- Mức độ 3 và định kỳ 100% các HTTT được kiểm tra, đánh giá định kỳ theo quy định của pháp luật.</t>
  </si>
  <si>
    <t>- Mức độ 4 và triển khai giám sát cho 100% các HTTT được giám sát, bảo vệ chuyên nghiệp.</t>
  </si>
  <si>
    <t>3.3.2</t>
  </si>
  <si>
    <t>Phát hiện và giảm thiểu xâm nhập</t>
  </si>
  <si>
    <t>Việc phát hiện xâm nhập chỉ được thực hiện theo sự vụ.</t>
  </si>
  <si>
    <t>Doanh nghiệp phát hiện và giảm thiểu xâm nhập trong một số thành phần của các hệ thống.</t>
  </si>
  <si>
    <t>Doanh nghiệp phát hiện và giảm thiểu xâm nhập trong hầu hết các thành phần của các hệ thống.</t>
  </si>
  <si>
    <t>Doanh nghiệp phát hiện và giảm thiểu xâm nhập trong thời gian gần thực.</t>
  </si>
  <si>
    <t>Doanh nghiệp và các đối tác trong hệ sinh thái của doanh nghiệp phát hiện và giảm thiểu xâm nhập trong thời gian gần thực.</t>
  </si>
  <si>
    <t>3.3.3</t>
  </si>
  <si>
    <t>Bảo đảm an toàn, an ninh mạng</t>
  </si>
  <si>
    <t>Định hướng 2026: triển khai biện pháp bảo mật tiên tiến, ngăn chặn và ứng phó sự cố an ninh mạng; đã triển khai SSO&amp;MFA; không ghi nhận vi phạm dữ liệu khách hàng.</t>
  </si>
  <si>
    <t>18-19; 40-41; 46-47</t>
  </si>
  <si>
    <t>Bảo vệ hệ thống thông tin được thực hiện theo sự vụ.</t>
  </si>
  <si>
    <t>Một số bộ phận, đơn vị chức năng có năng lực bảo đảm an toàn, an ninh mạng hiệu quả.</t>
  </si>
  <si>
    <t>Doanh nghiệp có năng lực bảo đảm an toàn, an ninh mạng hiệu quả.</t>
  </si>
  <si>
    <t>Doanh nghiệp có năng lực bảo đảm an toàn, an ninh mạng hiệu quả và liên tục được cải thiện.</t>
  </si>
  <si>
    <t>Doanh nghiệp và các đối tác trong hệ sinh thái của doanh nghiệp có năng lực bảo đảm an toàn, an ninh mạng hiệu quả và liên tục được cải thiện.</t>
  </si>
  <si>
    <t>3.3.4</t>
  </si>
  <si>
    <t>Bảo mật vật lý</t>
  </si>
  <si>
    <t>Việc sử dụng các thành phần công nghệ để bảo mật vật lý được thực hiện theo sự vụ.</t>
  </si>
  <si>
    <t>Một số yếu tố công nghệ được sử dụng để đáp ứng nhu cầu bảo mật vật lý của doanh nghiệp.</t>
  </si>
  <si>
    <t>Các yếu tố công nghệ được sử dụng để đáp ứng nhu cầu bảo mật vật lý của doanh nghiệp.</t>
  </si>
  <si>
    <t>Các yếu tố công nghệ được sử dụng hiệu quả để đáp ứng nhu cầu bảo mật vật lý của doanh nghiệp.</t>
  </si>
  <si>
    <t>Các yếu tố công nghệ được sử dụng hiệu quả để đáp ứng nhu cầu bảo mật vật lý của doanh nghiệp và các đối tác trong hệ sinh thái của doanh nghiệp.</t>
  </si>
  <si>
    <t>Ứng dụng và nền tảng</t>
  </si>
  <si>
    <t>3.4.1</t>
  </si>
  <si>
    <t>Trí tuệ nhân tạo</t>
  </si>
  <si>
    <t>Hơn 50 ứng dụng AI/ML vận hành đa lĩnh vực; Khối Dữ liệu &amp; AI (3/2025); &gt;1.100 AI Agent trên MyGenie; AI ứng dụng ở 5 lĩnh vực: vận hành, rủi ro-tín dụng, phát triển phần mềm, siêu cá nhân hóa, hỗ trợ bán hàng.</t>
  </si>
  <si>
    <t>https://investor.vietinbank.vn/documents/20126/a90d3d14-49e7-6f23-0e6c-7625baf56018; https://thitruongtaichinhtiente.vn/vietinbank-du-lieu-lam-nen-tang-ai-lam-dong-luc-chuyen-doi-so-84986.html; https://thitruongtaichinhtiente.vn/nganh-ngan-hang-voi-co-hoi-moi-tu-ky-nguyen-ai-85397.html</t>
  </si>
  <si>
    <t>36-39; 46-47; web</t>
  </si>
  <si>
    <t>Việc sử dụng trí tuệ nhân tạo chỉ được thực hiện theo sự vụ.</t>
  </si>
  <si>
    <t>Trí tuệ nhân tạo được một số bộ phận, đơn vị chức năng sử dụng để mang lại giá trị kinh tế.</t>
  </si>
  <si>
    <t>Trí tuệ nhân tạo được sử dụng trong toàn doanh nghiệp để mang lại giá trị kinh tế.</t>
  </si>
  <si>
    <t>Trí tuệ nhân tạo được sử dụng rộng rãi và ngày càng nhiều trong toàn doanh nghiệp để mang lại giá trị kinh tế.</t>
  </si>
  <si>
    <t>Trí tuệ nhân tạo được sử dụng rộng rãi và ngày càng nhiều trong toàn doanh nghiệp và các đối tác trong hệ sinh thái của doanh nghiệp để mang lại giá trị kinh tế.</t>
  </si>
  <si>
    <t>3.4.2</t>
  </si>
  <si>
    <t>Nền tảng dữ liệu lớn</t>
  </si>
  <si>
    <t>Khối Dữ liệu &amp; AI là đầu mối khai phá dữ liệu; Trung tâm dữ liệu Vân Canh đã vận hành; dùng Big Data cho cá nhân hóa và hành trình vay trên Big Data. Chưa gọi tên 'nền tảng dữ liệu lớn'.</t>
  </si>
  <si>
    <t>38-39; 46-47; web</t>
  </si>
  <si>
    <t>Doanh nghiệp chưa có nền tảng dữ liệu lớn.</t>
  </si>
  <si>
    <t>Doanh nghiệp đã có kế hoạch triển khai nền tảng dữ liệu lớn.</t>
  </si>
  <si>
    <t>Một nền tảng dữ liệu lớn đã được thiết lập và đi vào hoạt động.</t>
  </si>
  <si>
    <t>Một nền tảng dữ liệu lớn đang được sử dụng để thu thập, quản lý và phân tích dữ liệu trong toàn doanh nghiệp nhằm mang lại giá trị kinh tế.</t>
  </si>
  <si>
    <t>Một nền tảng dữ liệu lớn đang được sử dụng để thu thập, quản lý và phân tích dữ liệu trong toàn doanh nghiệp và các đối tác trong hệ sinh thái của doanh nghiệp nhằm mang lại giá trị kinh tế.</t>
  </si>
  <si>
    <t>3.4.3</t>
  </si>
  <si>
    <t>Công cụ phát triển ứng dụng</t>
  </si>
  <si>
    <t>Chuẩn hóa phương pháp phát triển sản phẩm số, vận hành 8 CoE, áp dụng DevSecOps; chưa mô tả bộ công cụ cụ thể.</t>
  </si>
  <si>
    <t>Việc sử dụng các công cụ phát triển ứng dụng được thực hiện theo sự vụ.</t>
  </si>
  <si>
    <t>Doanh nghiệp có sẵn một bộ công cụ phát triển ứng dụng để mang lại giá trị kinh tế.</t>
  </si>
  <si>
    <t>Doanh nghiệp có sẵn một bộ công cụ phát triển ứng dụng hoàn chỉnh để mang lại giá trị kinh tế.</t>
  </si>
  <si>
    <t>Doanh nghiệp có các công cụ phát triển ứng dụng tốt nhất trong cùng phân khúc và liên tục được nâng cao để mang lại giá trị kinh doanh.</t>
  </si>
  <si>
    <t>Doanh nghiệp và các đối tác trong hệ sinh thái của doanh nghiệp có sẵn các công cụ phát triển ứng dụng tốt nhất và liên tục được nâng cao để mang lại giá trị kinh doanh.</t>
  </si>
  <si>
    <t>3.4.4</t>
  </si>
  <si>
    <t>Danh mục công cụ</t>
  </si>
  <si>
    <t>Doanh nghiệp chưa có hành động cụ thể để lập danh mục các công cụ.</t>
  </si>
  <si>
    <t>Một số bộ phận, đơn vị chức năng đã bắt đầu lập danh mục và tài liệu hóa các công cụ họ sử dụng.</t>
  </si>
  <si>
    <t>Hầu hết các bộ phận, đơn vị chức năng duy trì một danh mục và tài liệu hóa về các công cụ họ sử dụng.</t>
  </si>
  <si>
    <t>Có một danh mục toàn doanh nghiệp về các công cụ được sử dụng cùng với tài liệu toàn diện.</t>
  </si>
  <si>
    <t>Có một danh mục các công cụ được sử dụng trên toàn bộ doanh nghiệp và hệ sinh thái của doanh nghiệp cùng với tài liệu toàn diện.</t>
  </si>
  <si>
    <t>Kết nối và tính toán</t>
  </si>
  <si>
    <t>3.5.1</t>
  </si>
  <si>
    <t>Ảo hóa (ví dụ: SDN/NFV)</t>
  </si>
  <si>
    <t>Bài 2016: 'hơn 90% hệ thống máy chủ của VietinBank là máy chủ ảo', ảo hóa từ khoảng 2007, có kế hoạch Private Cloud/IaaS; bài FPT 2009 xác nhận triển khai VMware vSphere trên HP Blade cho ứng dụng ngân hàng tại HN, ĐN, TP.HCM. Phạm vi: toàn hạ tầng máy chủ nhưng dữ liệu cũ (2009-2016), không có số liệu FY2025; không có thông tin SDN/NFV.</t>
  </si>
  <si>
    <t>https://thuonghieucongluan.com.vn/vietinbank-day-manh-ung-dung-cong-nghe-thong-tin-a26791.html; https://fpt.com/en/news/fpt-news/successful-virtualization-in-vietinbank-</t>
  </si>
  <si>
    <t>Ảo hóa chưa được sử dụng.</t>
  </si>
  <si>
    <t>Một số bộ phận, đơn vị chức năng sử dụng ảo hóa để mang lại giá trị kinh tế (giảm chi phí, tăng năng suất lao động, ...).</t>
  </si>
  <si>
    <t>Nhiều bộ phận, đơn vị chức năng sử dụng ảo hóa để mang lại giá trị kinh tế.</t>
  </si>
  <si>
    <t>Doanh nghiệp sử dụng hiệu quả ảo hóa ở bất cứ nơi nào nó mang lại giá trị kinh tế.</t>
  </si>
  <si>
    <t>Doanh nghiệp và các đối tác trong hệ sinh thái của doanh nghiệp sử dụng hiệu quả ảo hóa ở bất cứ nơi nào nó mang lại giá trị kinh tế.</t>
  </si>
  <si>
    <t>3.5.2</t>
  </si>
  <si>
    <t>Kết nối không dây</t>
  </si>
  <si>
    <t>Việc sử dụng kết nối không dây được thực hiện theo sự vụ.</t>
  </si>
  <si>
    <t>Một số bộ phận, đơn vị chức năng sử dụng kết nối không dây để mang lại giá trị kinh tế.</t>
  </si>
  <si>
    <t>Nhiều bộ phận, đơn vị chức năng sử dụng kết nối không dây để mang lại giá trị kinh tế.</t>
  </si>
  <si>
    <t>Doanh nghiệp sử dụng hiệu quả kết nối không dây phù hợp ở bất cứ nơi nào giá trị kinh tế được mang lại.</t>
  </si>
  <si>
    <t>Doanh nghiệp và các đối tác trong hệ sinh thái của doanh nghiệp sử dụng hiệu quả kết nối không dây thích hợp ở bất cứ nơi nào giá trị kinh tế được mang lại.</t>
  </si>
  <si>
    <t>3.5.3</t>
  </si>
  <si>
    <t>Giao thức Internet</t>
  </si>
  <si>
    <t>Việc sử dụng IP được thực hiện theo sự vụ.</t>
  </si>
  <si>
    <t>IP được một số bộ phận, đơn vị chức năng sử dụng một cách có chủ ý trong toàn doanh nghiệp.</t>
  </si>
  <si>
    <t>IP được sử dụng bởi hầu hết các bộ phận, đơn vị chức năng trong toàn doanh nghiệp.</t>
  </si>
  <si>
    <t>IP được sử dụng rộng rãi trong toàn doanh nghiệp.</t>
  </si>
  <si>
    <t>IP được sử dụng rộng rãi trong toàn doanh nghiệp và các đối tác trong hệ sinh thái của doanh nghiệp.</t>
  </si>
  <si>
    <t>3.5.4</t>
  </si>
  <si>
    <t>Internet vạn vật</t>
  </si>
  <si>
    <t>loT chưa được sử dụng.</t>
  </si>
  <si>
    <t>Một số bộ phận, đơn vị chức năng sử dụng IoT để mang lại giá trị kinh tế.</t>
  </si>
  <si>
    <t>Hầu hết bộ phận, đơn vị chức năng sử dụng IoT để mang lại giá trị kinh tế.</t>
  </si>
  <si>
    <t>Doanh nghiệp sử dụng hiệu quả IoT ở bất cứ nơi nào nó mang lại giá trị kinh tế.</t>
  </si>
  <si>
    <t>Doanh nghiệp và các đối tác trong hệ sinh thái của doanh nghiệp sử dụng hiệu quả IoT ở bất cứ nơi nào nó mang lại giá trị kinh tế.</t>
  </si>
  <si>
    <t>3.5.5</t>
  </si>
  <si>
    <t>Quản lý hạ tầng</t>
  </si>
  <si>
    <t>Triển khai ITSM, CMDB, SSO&amp;MFA; vận hành Trung tâm dữ liệu Vân Canh; tối ưu Core Banking.</t>
  </si>
  <si>
    <t>Quản lý hạ tầng chỉ được thực hiện theo sự vụ.</t>
  </si>
  <si>
    <t>Một số khía cạnh của Quản lý hạ tầng đang đáp ứng nhu cầu của doanh nghiệp.</t>
  </si>
  <si>
    <t>Hầu hết các khía cạnh của Quản lý hạ tầng đang đáp ứng nhu cầu của doanh nghiệp.</t>
  </si>
  <si>
    <t>Quản lý (các) hạ tầng được tích hợp và đáp ứng nhu cầu của doanh nghiệp và liên tục được cải thiện.</t>
  </si>
  <si>
    <t>Quản lý (các) hạ tầng được tích hợp và đáp ứng nhu cầu của doanh nghiệp cũng như các đối tác trong hệ sinh thái của doanh nghiệp và liên tục được cải thiện.</t>
  </si>
  <si>
    <t>3.5.6</t>
  </si>
  <si>
    <t>Điều phối nguồn lực</t>
  </si>
  <si>
    <t>Điều phối nguồn lực được xử lý chưa hiệu quả.</t>
  </si>
  <si>
    <t>Điều phối nguồn lực đang đáp ứng một phần các - Mức dịch vụ bắt buộc do doanh nghiệp cung cấp.</t>
  </si>
  <si>
    <t>Điều phối nguồn lực đang đáp ứng các - Mức dịch vụ bắt buộc do doanh nghiệp cung cấp.</t>
  </si>
  <si>
    <t>Điều phối nguồn lực đang vượt trội - Mức dịch vụ cần thiết do doanh nghiệp cung cấp.</t>
  </si>
  <si>
    <t>Điều phối đang vượt trội - Mức dịch vụ cần thiết do doanh nghiệp và các đối tác hệ sinh thái của doanh nghiệp cung cấp.</t>
  </si>
  <si>
    <t>3.5.7</t>
  </si>
  <si>
    <t>Điện toán đám mây</t>
  </si>
  <si>
    <t>Tăng cường ứng dụng Cloud trong trụ cột Công nghệ; chưa có số liệu mức sử dụng.</t>
  </si>
  <si>
    <t>Hạ tầng điện toán đám mây chưa được sử dụng.</t>
  </si>
  <si>
    <t>Hạ tầng điện toán đám mây được một số bộ phận, đơn vị chức năng sử dụng để mang lại giá trị kinh tế.</t>
  </si>
  <si>
    <t>Hạ tầng điện toán đám mây được hầu hết các bộ phận, đơn vị chức năng sử dụng để mang lại giá trị kinh tế.</t>
  </si>
  <si>
    <t>Doanh nghiệp sử dụng hiệu quả hạ tầng điện toán đám mây ở toàn bộ những nơi mà nó giúp mang lại giá trị kinh tế.</t>
  </si>
  <si>
    <t>Doanh nghiệp và các đối tác trong hệ sinh thái của doanh nghiệp sử dụng hiệu quả hạ tầng điện toán đám mây ở toàn bộ những nơi mà nó giúp mang lại giá trị kinh tế.</t>
  </si>
  <si>
    <t>3.5.8</t>
  </si>
  <si>
    <t>Điện toán biên</t>
  </si>
  <si>
    <t>Điện toán biên chưa được sử dụng.</t>
  </si>
  <si>
    <t>Một số bộ phận, đơn vị chức năng sử dụng điện toán biên để mang lại giá trị kinh tế.</t>
  </si>
  <si>
    <t>Nhiều bộ phận, đơn vị chức năng sử dụng điện toán biên để mang lại giá trị kinh tế.</t>
  </si>
  <si>
    <t>Doanh nghiệp sử dụng hiệu quả điện toán biên ở bất cứ nơi nào nó mang lại giá trị kinh tế.</t>
  </si>
  <si>
    <t>Doanh nghiệp và các đối tác trong hệ sinh thái của doanh nghiệp sử dụng hiệu quả điện toán biên ở bất cứ nơi nào nó mang lại giá trị kinh tế.</t>
  </si>
  <si>
    <t>3.5.9</t>
  </si>
  <si>
    <t>Tự động hóa</t>
  </si>
  <si>
    <t>Tự động hóa nhiều bước trong quy trình cho vay; giải ngân online 5–10 phút; hành trình tiếp thị tự động; AI Agent hỗ trợ nghiệp vụ.</t>
  </si>
  <si>
    <t>38-39; 58-59; web</t>
  </si>
  <si>
    <t>Tự động hóa chỉ được thực hiện theo sự vụ.</t>
  </si>
  <si>
    <t>Một số bộ phận, đơn vị chức năng đã áp dụng tự động hóa để mang lại giá trị kinh tế.</t>
  </si>
  <si>
    <t>Hầu hết các quy trình đều được tự động hóa và mang lại giá trị kinh tế.</t>
  </si>
  <si>
    <t>Tự động hóa Zero-Touch đã sẵn sàng và mang lại giá trị kinh tế trong toàn doanh nghiệp.</t>
  </si>
  <si>
    <t>Tự động hóa Zero-Touch đã sẵn sàng và mang lại giá trị kinh tế cho toàn doanh nghiệp và các đối tác trong hệ sinh thái của doanh nghiệp.</t>
  </si>
  <si>
    <t>Quản trị vận hành</t>
  </si>
  <si>
    <t>4.1.1</t>
  </si>
  <si>
    <t>Mô hình doanh nghiệp</t>
  </si>
  <si>
    <t>Thành lập Khối Dữ liệu &amp; AI, tinh gọn 3 khối với 29 đơn vị tại Hội sở, sáp nhập phòng tại chi nhánh theo lộ trình CĐS; chuyển sang mô hình quản trị tập trung; năng suất lao động tăng 35%.</t>
  </si>
  <si>
    <t>14-15; 58-59</t>
  </si>
  <si>
    <t>Mô hình vận hành chưa hỗ trợ chiến lược chuyển đổi số.</t>
  </si>
  <si>
    <t>Mô hình vận hành đang được xây dựng để phù hợp với chiến lược số.</t>
  </si>
  <si>
    <t>Mô hình vận hành của doanh nghiệp phù hợp với chiến lược số.</t>
  </si>
  <si>
    <t>Mô hình vận hành của doanh nghiệp thể hiện đầy đủ chiến lược số và nó liên tục được cải thiện.</t>
  </si>
  <si>
    <t>Mô hình hoạt động của doanh nghiệp và các đối tác trong hệ sinh thái của doanh nghiệp thể hiện đầy đủ chiến lược số và nó liên tục được cải thiện.</t>
  </si>
  <si>
    <t>4.1.2</t>
  </si>
  <si>
    <t>Quản lý rủi ro hoạt động</t>
  </si>
  <si>
    <t>Mô hình ba tuyến phòng thủ theo thông lệ quốc tế và quy định NHNN; kiểm tra, giám sát 100% chi nhánh hằng năm; có Khối Quản lý rủi ro và Hội đồng/Ủy ban rủi ro.</t>
  </si>
  <si>
    <t>14-15; 40-41</t>
  </si>
  <si>
    <t>Quản lý rủi ro hoạt động chỉ được thực hiện theo sự vụ.</t>
  </si>
  <si>
    <t>Quản lý rủi ro hoạt động được áp dụng ở một số bộ phận, đơn vị chức năng.</t>
  </si>
  <si>
    <t>Quản lý rủi ro hoạt động được áp dụng trên hầu hết các bộ phận chức năng.</t>
  </si>
  <si>
    <t>Quản trị rủi ro hoạt động được áp dụng đầy đủ trong hoạt động của doanh nghiệp.</t>
  </si>
  <si>
    <t>Quản lý rủi ro hoạt động được áp dụng đầy đủ trong hoạt động của doanh nghiệp và các đối tác trong hệ sinh thái của doanh nghiệp.</t>
  </si>
  <si>
    <t>4.1.3</t>
  </si>
  <si>
    <t>Sự tuân thủ</t>
  </si>
  <si>
    <t>Có Khối Pháp chế &amp; Tuân thủ; đào tạo chống rửa tiền; kiểm tra chống tham nhũng bắt buộc tại các đợt kiểm tra tại chỗ; không bị phạt vi phạm môi trường.</t>
  </si>
  <si>
    <t>14-15; 40-41; 60-61</t>
  </si>
  <si>
    <t>Việc tuân thủ các yêu cầu pháp lý và quy định cũng như áp dụng các tiêu chuẩn chỉ được thực hiện theo sự vụ.</t>
  </si>
  <si>
    <t>Một số bộ phận, đơn vị chức năng tuân thủ các yêu cầu pháp lý và quy định cũng như áp dụng các tiêu chuẩn trong hoạt động của mình.</t>
  </si>
  <si>
    <t>Hầu hết các bộ phận, đơn vị chức năng tuân thủ các yêu cầu pháp lý và quy định cũng như áp dụng các tiêu chuẩn trong hoạt động của mình.</t>
  </si>
  <si>
    <t>Toàn bộ bộ phận, đơn vị chức năng tuân thủ đầy đủ các yêu cầu pháp lý và quy định cũng như áp dụng các tiêu chuẩn trong hoạt động của mình.</t>
  </si>
  <si>
    <t>Toàn bộ bộ phận, đơn vị chức năng và đối tác trong hệ sinh thái tuân thủ đầy đủ các yêu cầu pháp lý và quy định cũng như áp dụng các tiêu chuẩn trong hoạt động của mình.</t>
  </si>
  <si>
    <t>4.1.4</t>
  </si>
  <si>
    <t>Hoạt động bảo đảm vận hành an toàn trong quản lý tài sản doanh nghiệp</t>
  </si>
  <si>
    <t>Tài sản được ghi sổ, theo dõi, quản lý theo quy định; rà soát hiện trạng tài sản, thanh lý đúng quy trình; định mức mua sắm thiết bị.</t>
  </si>
  <si>
    <t>52-53; 58-59</t>
  </si>
  <si>
    <t>Hoạt động bảo vệ tài sản của doanh nghiệp chỉ được thực hiện theo sự vụ.</t>
  </si>
  <si>
    <t>Doanh nghiệp đang bảo vệ một phần tài sản của mình.</t>
  </si>
  <si>
    <t>Hoạt động bảo đảm vận hành bảo vệ tài sản doanh nghiệp được thực hiện trong toàn bộ doanh nghiệp.</t>
  </si>
  <si>
    <t>Hoạt động bảo đảm vận hành bảo vệ toàn diện tài sản doanh nghiệp trong thời gian thực trên toàn doanh nghiệp.</t>
  </si>
  <si>
    <t>Hoạt động bảo đảm vận hành bảo vệ hoàn toàn tài sản doanh nghiệp trong thời gian thực trên toàn doanh nghiệp và được thống nhất với các đối tác trong hệ sinh thái của doanh nghiệp.</t>
  </si>
  <si>
    <t>Thiết kế và đổi mới sáng tạo dịch vụ</t>
  </si>
  <si>
    <t>4.2.1</t>
  </si>
  <si>
    <t>Đáp ứng yêu cầu kinh doanh/nghiệp vụ</t>
  </si>
  <si>
    <t>Năm 2024 triển khai 45 sáng kiến thuộc Chương trình CĐS X01 theo cả mô hình Agile và Waterfall; năm 2025 đào tạo chuyên sâu Agile, chuẩn hóa triển khai theo phương pháp L-Gate; có Agile team tại Nhà máy số và đào tạo POPM. Chỉ là suy luận gián tiếp về việc chuyển yêu cầu nghiệp vụ thành thiết kế; chưa thấy tài liệu mô tả kiến trúc/thiết kế dịch vụ toàn ngân hàng.</t>
  </si>
  <si>
    <t>https://thitruongtaichinhtiente.vn/vietinbank-chuyen-doi-so-de-vuon-minh-trong-ky-nguyen-moi-67461.html; https://www.sggp.org.vn/vietinbank-nhan-tai-la-trai-tim-cua-chuyen-doi-post799169.html</t>
  </si>
  <si>
    <t>Các yêu cầu nghiệp vụ được chuyển thành Kiến trúc và thiết kế dịch vụ được thực hiện theo sự vụ.</t>
  </si>
  <si>
    <t>Các yêu cầu kinh doanh/nghiệp vụ được hiểu bởi một số bộ phận, đơn vị chức năng và được chuyển thành Kiến trúc và thiết kế dịch vụ.</t>
  </si>
  <si>
    <t>Các yêu cầu kinh doanh/nghiệp vụ được hiểu bởi hầu hết các bộ phận, đơn vị chức năng và được chuyển thành Kiến trúc và thiết kế dịch vụ.</t>
  </si>
  <si>
    <t>Các yêu cầu kinh doanh/nghiệp vụ được doanh nghiệp hiểu đầy đủ và chuyển thành Kiến trúc và thiết kế dịch vụ.</t>
  </si>
  <si>
    <t>Các yêu cầu kinh doanh/nghiệp vụ được doanh nghiệp và các đối tác trong hệ sinh thái của doanh nghiệp hiểu đầy đủ và chuyển thành Kiến trúc và thiết kế dịch vụ.</t>
  </si>
  <si>
    <t>4.2.2</t>
  </si>
  <si>
    <t>Tư duy Thiết kế (Design Thinking)</t>
  </si>
  <si>
    <t>Tổ chức các khóa đào tạo chuyên sâu về Design Thinking (cùng Agile, ứng dụng AI, ra quyết định dựa trên dữ liệu) cho cán bộ; chưa có số liệu phạm vi áp dụng.</t>
  </si>
  <si>
    <t>58-59</t>
  </si>
  <si>
    <t>Tư duy Thiết kế chưa được sử dụng.</t>
  </si>
  <si>
    <t>Tư duy Thiết kế được áp dụng bởi một số bộ phận, đơn vị chức năng để hiểu nhu cầu và thách thức của các bên liên quan.</t>
  </si>
  <si>
    <t>Tư duy Thiết kế được hầu hết các bộ phận, đơn vị chức năng áp dụng để hiểu nhu cầu và thách thức của các bên liên quan.</t>
  </si>
  <si>
    <t>Tư duy Thiết kế được doanh nghiệp áp dụng đầy đủ để hiểu nhu cầu và thách thức của các bên liên quan.</t>
  </si>
  <si>
    <t>Tư duy Thiết kế được doanh nghiệp và các đối tác trong hệ sinh thái của doanh nghiệp áp dụng đầy đủ để hiểu nhu cầu và thách thức của các bên liên quan.</t>
  </si>
  <si>
    <t>4.2.3</t>
  </si>
  <si>
    <t>Phát triển linh hoạt</t>
  </si>
  <si>
    <t>Chương trình X01 áp dụng mô hình Agile và Waterfall (45 sáng kiến năm 2024); mở rộng mô hình làm việc Agile.</t>
  </si>
  <si>
    <t>Agile methods chưa được sử dụng.</t>
  </si>
  <si>
    <t>Agile methods được một số bộ phận, đơn vị chức năng áp dụng trong quá trình phát triển và cải tiến sản phẩm.</t>
  </si>
  <si>
    <t>Agile methods được hầu hết các bộ phận, đơn vị chức năng áp dụng trong quá trình phát triển và cải tiến sản phẩm.</t>
  </si>
  <si>
    <t>Agile methods được toàn bộ doanh nghiệp áp dụng trong quá trình phát triển và cải tiến sản phẩm.</t>
  </si>
  <si>
    <t>Agile methods được doanh nghiệp và các đối tác trong hệ sinh thái của doanh nghiệp áp dụng đầy đủ trong quá trình phát triển và cải tiến sản phẩm.</t>
  </si>
  <si>
    <t>4.2.4</t>
  </si>
  <si>
    <t>Tối ưu hóa quy trình</t>
  </si>
  <si>
    <t>Tái thiết kế quy trình, số hóa sản phẩm dịch vụ giảm chi phí vận hành; giải ngân online giảm từ vài giờ xuống 5–10 phút.</t>
  </si>
  <si>
    <t>Tối ưu hóa quy trình được thực hiện theo sự vụ.</t>
  </si>
  <si>
    <t>Một số bộ phận, đơn vị chức năng có tối ưu hóa quy trình hoạt động.</t>
  </si>
  <si>
    <t>Hầu hết các bộ phận, đơn vị chức năng có tối ưu hóa quy trình hoạt động.</t>
  </si>
  <si>
    <t>Các quy trình vận hành được doanh nghiệp tối ưu hóa hoàn toàn bất cứ khi nào có thể.</t>
  </si>
  <si>
    <t>Các quy trình vận hành được doanh nghiệp và các đối tác trong hệ sinh thái của doanh nghiệp tối ưu hóa hoàn toàn bất cứ khi nào có thể.</t>
  </si>
  <si>
    <t>4.2.5</t>
  </si>
  <si>
    <t>Đổi mới liên tục sản phẩm và dịch vụ</t>
  </si>
  <si>
    <t>Năm 2025 nhận 5 Giải Sao Khuê, năm 2026 nhận 8 Giải Sao Khuê; ra mắt iPay, eFAST One, Tap-and-Go, V-Wealth; cuộc thi AI Workup; xây dựng văn hóa đổi mới.</t>
  </si>
  <si>
    <t>https://theleader.vn/vietinbank-chuyen-doi-so-de-vuon-minh-trong-ky-nguyen-moi-d40004.html; https://thitruongtaichinhtiente.vn/vietinbank-du-lieu-lam-nen-tang-ai-lam-dong-luc-chuyen-doi-so-84986.html; https://investor.vietinbank.vn/documents/20126/a90d3d14-49e7-6f23-0e6c-7625baf56018</t>
  </si>
  <si>
    <t>Đổi mới sáng tạo được thực hiện theo sự vụ.</t>
  </si>
  <si>
    <t>Một số bộ phận, đơn vị chức năng đổi mới để cải thiện các dịch vụ hiện có và giới thiệu những dịch vụ mới.</t>
  </si>
  <si>
    <t>Hầu hết các bộ phận, đơn vị chức năng đổi mới để cải thiện các dịch vụ hiện có và giới thiệu những dịch vụ mới.</t>
  </si>
  <si>
    <t>Doanh nghiệp liên tục đổi mới để cải thiện các dịch vụ hiện có và giới thiệu những dịch vụ mới.</t>
  </si>
  <si>
    <t>Doanh nghiệp và các đối tác trong hệ sinh thái của mình liên tục đổi mới để cải thiện các dịch vụ hiện có và giới thiệu các dịch vụ mới.</t>
  </si>
  <si>
    <t>4.2.6</t>
  </si>
  <si>
    <t>Hợp tác với đối tác</t>
  </si>
  <si>
    <t>Hợp tác với V-Green, Visa, MUFG, ADB/PwC, Fintech và đối tác thanh toán; lựa chọn đối tác xây dựng quan hệ chiến lược toàn ngân hàng.</t>
  </si>
  <si>
    <t>18-19; 32-35; web</t>
  </si>
  <si>
    <t>Hợp tác đối tác được thực hiện theo sự vụ.</t>
  </si>
  <si>
    <t>Một số bộ phận, đơn vị chức năng có quy trình Hợp tác đối tác hiệu quả.</t>
  </si>
  <si>
    <t>Hầu hết các bộ phận, đơn vị chức năng đều có quy trình Hợp tác đối tác hiệu quả.</t>
  </si>
  <si>
    <t>Doanh nghiệp có một quy trình hiệu quả để Hợp tác các đối tác.</t>
  </si>
  <si>
    <t>Doanh nghiệp và các đối tác trong hệ sinh thái của mình có một quy trình hiệu quả để Hợp tác các đối tác.</t>
  </si>
  <si>
    <t>Chuyển tiếp/Triển khai dịch vụ</t>
  </si>
  <si>
    <t>4.3.1</t>
  </si>
  <si>
    <t>Quản lý thay đổi hoạt động</t>
  </si>
  <si>
    <t>Có Ban Chiến lược &amp; Quản lý thay đổi tham gia điều phối chuyển đổi; triển khai ITSM; thay đổi mô hình tổ chức theo lộ trình CĐS.</t>
  </si>
  <si>
    <t>24-25; 46-47; 58-59</t>
  </si>
  <si>
    <t>Quản lý thay đổi được thực hiện theo sự vụ.</t>
  </si>
  <si>
    <t>Một số bộ phận, đơn vị chức năng đã thống nhất và xác định trách nhiệm quản lý thay đổi.</t>
  </si>
  <si>
    <t>Hầu hết các bộ phận, đơn vị chức năng đã thống nhất và xác định trách nhiệm quản lý thay đổi.</t>
  </si>
  <si>
    <t>Doanh nghiệp đã xác định rõ ràng trách nhiệm quản lý thay đổi.</t>
  </si>
  <si>
    <t>Doanh nghiệp và các đối tác trong hệ sinh thái của doanh nghiệp đã thống nhất và xác định rõ trách nhiệm đối với việc quản lý thay đổi.</t>
  </si>
  <si>
    <t>4.3.2</t>
  </si>
  <si>
    <t>Quản lý phát hành</t>
  </si>
  <si>
    <t>Quản lý phát hành được thực hiện theo sự vụ.</t>
  </si>
  <si>
    <t>Cách tiếp cận Quản lý phát hành được một số bộ phận bộ phận, đơn vị chức năng đồng ý và áp dụng.</t>
  </si>
  <si>
    <t>Cách tiếp cận Quản lý phát hành được hầu hết các bộ phận bộ phận, đơn vị chức năng đồng ý và áp dụng.</t>
  </si>
  <si>
    <t>Cách tiếp cận Quản lý phát hành linh hoạt, được thống nhất và áp dụng trong toàn doanh nghiệp.</t>
  </si>
  <si>
    <t>Cách tiếp cận Quản lý phát hành linh hoạt, được thống nhất và áp dụng trong toàn doanh nghiệp và các đối tác trong hệ sinh thái của doanh nghiệp.</t>
  </si>
  <si>
    <t>4.3.3</t>
  </si>
  <si>
    <t>DevSecOps</t>
  </si>
  <si>
    <t>Tăng cường áp dụng DevSecOps trong trụ cột Công nghệ; chưa có số liệu mức áp dụng.</t>
  </si>
  <si>
    <t>DevSecOps chưa được sử dụng.</t>
  </si>
  <si>
    <t>Các nguyên tắc DevSecOps đang bắt đầu được xác định.</t>
  </si>
  <si>
    <t>Các nguyên tắc DevSecOps được xác định và bắt đầu được giới thiệu.</t>
  </si>
  <si>
    <t>Các nguyên tắc DevSecOps được doanh nghiệp áp dụng triệt để.</t>
  </si>
  <si>
    <t>Các nguyên tắc DevSecOps được doanh nghiệp và các đối tác trong hệ sinh thái của doanh nghiệp áp dụng đầy đủ.</t>
  </si>
  <si>
    <t>4.3.4</t>
  </si>
  <si>
    <t>CI/CD</t>
  </si>
  <si>
    <t>CI/CD chưa được sử dụng.</t>
  </si>
  <si>
    <t>Quy trình công việc CI/CD đang bắt đầu được xác định.</t>
  </si>
  <si>
    <t>Quy trình công việc CI/CD được ghi lại đang bắt đầu được giới thiệu.</t>
  </si>
  <si>
    <t>Doanh nghiệp vận hành quy trình công việc CI/CD được ưu tiên và ghi chép đầy đủ.</t>
  </si>
  <si>
    <t>Doanh nghiệp và các đối tác trong hệ sinh thái của doanh nghiệp vận hành quy trình làm việc CI/CD được ưu tiên và ghi chép đầy đủ.</t>
  </si>
  <si>
    <t>Vận hành dịch vụ</t>
  </si>
  <si>
    <t>4.4.1</t>
  </si>
  <si>
    <t>Đảm bảo dịch vụ</t>
  </si>
  <si>
    <t>Có Hội đồng/Ủy ban Chất lượng dịch vụ; triển khai hệ thống ITSM; chưa nêu mức hiệu suất dịch vụ cam kết.</t>
  </si>
  <si>
    <t>Đảm bảo dịch vụ được thực hiện theo sự vụ.</t>
  </si>
  <si>
    <t>Đảm bảo dịch vụ được ban hành nhưng thỉnh thoảng các dịch vụ mới đạt được - Mức hiệu suất đã thỏa thuận.</t>
  </si>
  <si>
    <t>Đảm bảo dịch vụ được áp dụng và các dịch vụ đang hoạt động ở - Mức hiệu suất đã thỏa thuận.</t>
  </si>
  <si>
    <t>Đảm bảo dịch vụ được áp dụng và các dịch vụ do doanh nghiệp cung cấp đang hoạt động ở - Mức hiệu suất đã thỏa thuận và liên tục cải thiện.</t>
  </si>
  <si>
    <t>Đảm bảo dịch vụ được áp dụng và các dịch vụ do doanh nghiệp và các đối tác trong hệ sinh thái của doanh nghiệp cung cấp đang hoạt động ở - Mức hiệu suất đã thỏa thuận và liên tục cải thiện.</t>
  </si>
  <si>
    <t>4.4.2</t>
  </si>
  <si>
    <t>SRE</t>
  </si>
  <si>
    <t>SRE chưa được sử dụng.</t>
  </si>
  <si>
    <t>SRE được thực hiện một phần bởi doanh nghiệp.</t>
  </si>
  <si>
    <t>SRE được thực hiện bởi doanh nghiệp.</t>
  </si>
  <si>
    <t>SRE được doanh nghiệp triển khai hiệu quả để cung cấp các hoạt động dịch vụ không có lỗi.</t>
  </si>
  <si>
    <t>SRE được doanh nghiệp và các đối tác trong hệ sinh thái của doanh nghiệp triển khai hiệu quả để cung cấp các hoạt động dịch vụ không có lỗi.</t>
  </si>
  <si>
    <t>4.4.3</t>
  </si>
  <si>
    <t>Hoạt động chuỗi cung ứng</t>
  </si>
  <si>
    <t>Mua sắm bền vững: ~98% chi tiêu cho nhà cung cấp trong nước; ký số trong mua sắm; thương thảo gộp, hợp đồng dài hạn.</t>
  </si>
  <si>
    <t>52-53</t>
  </si>
  <si>
    <t>Hoạt động chuỗi cung ứng chưa linh hoạt và chưa kịp thời.</t>
  </si>
  <si>
    <t>Hoạt động chuỗi cung ứng có tính linh hoạt hạn chế.</t>
  </si>
  <si>
    <t>Hoạt động chuỗi cung ứng linh hoạt.</t>
  </si>
  <si>
    <t>Hoạt động chuỗi cung ứng linh hoạt và có thể phản ứng kịp thời với những thay đổi.</t>
  </si>
  <si>
    <t>Hoạt động chuỗi cung ứng của doanh nghiệp và các đối tác trong hệ sinh thái của doanh nghiệp rất linh hoạt và có thể phản ứng kịp thời với những thay đổi.</t>
  </si>
  <si>
    <t>4.4.4</t>
  </si>
  <si>
    <t>Đáp ứng yêu cầu sản phẩm và dịch vụ của khách hàng</t>
  </si>
  <si>
    <t>Giải ngân online &gt;90%, rút ngắn còn 5–10 phút; iPay &gt;200 tiện ích; 99% giao dịch thanh toán qua kênh số.</t>
  </si>
  <si>
    <t>Đáp ứng yêu cầu sản phẩm và dịch vụ được thực hiện theo sự vụ.</t>
  </si>
  <si>
    <t>Đáp ứng yêu cầu sản phẩm và dịch vụ đang bắt đầu để đảm bảo rằng các sản phẩm hoàn chỉnh và theo yêu cầu của khách hàng.</t>
  </si>
  <si>
    <t>Đáp ứng yêu cầu sản phẩm và dịch vụ đảm bảo các sản phẩm được cung cấp bởi doanh nghiệp là hoàn chỉnh và thường theo yêu cầu.</t>
  </si>
  <si>
    <t>Đáp ứng yêu cầu sản phẩm và dịch vụ đảm bảo các sản phẩm do doanh nghiệp cung cấp luôn đầy đủ và có sẵn theo yêu cầu.</t>
  </si>
  <si>
    <t>Đáp ứng yêu cầu sản phẩm và dịch vụ đảm bảo các sản phẩm do doanh nghiệp và các đối tác trong hệ sinh thái của doanh nghiệp cung cấp luôn đầy đủ và sẵn sàng theo yêu cầu.</t>
  </si>
  <si>
    <t>4.4.5</t>
  </si>
  <si>
    <t>Giám sát hoạt động</t>
  </si>
  <si>
    <t>Viettel cung cấp hệ thống an toàn thông tin SOC cho VietinBank (hợp tác ký 20/8/2024); ngân hàng triển khai hệ thống quản trị CNTT mới nhằm nâng cao hiệu quả vận hành, an ninh và an toàn hệ thống; dùng AI/ML cảnh báo sớm rủi ro tín dụng và phát hiện gian lận. Chỉ là giám sát một phần (an ninh, rủi ro); chưa thấy công bố giám sát hiệu suất dịch vụ thời gian thực toàn diện. Năm 2017 có hệ thống giám sát mạng/sự kiện theo ITIL (HPT) nhưng đã cũ.</t>
  </si>
  <si>
    <t>https://vnba.org.vn/vi/vietinbank-va-viettel-ky-ket-hop-tac-toan-dien-15210.htm; https://vietnamfinance.vn/chuyen-doi-so-cu-hich-chien-luoc-cua-vietinbank-d140898.html; https://hpt.vn/en/typical-success/5/detail/providing-and-implementing-it-service-management-solutions-at-vietnam-joint-stock-commercial-bank-for-industry-and-trade-vietinbank/550</t>
  </si>
  <si>
    <t>Giám sát hoạt động được thực hiện theo sự vụ.</t>
  </si>
  <si>
    <t>Giám sát hoạt động cung cấp cái nhìn một phần về hiệu suất dịch vụ để quản lý các dịch vụ do doanh nghiệp cung cấp.</t>
  </si>
  <si>
    <t>Giám sát hoạt động cung cấp một cái nhìn toàn diện về hiệu suất dịch vụ để quản lý các dịch vụ do doanh nghiệp cung cấp.</t>
  </si>
  <si>
    <t>Giám sát hoạt động cung cấp một cái nhìn tổng thể theo thời gian thực về hiệu suất dịch vụ để quản lý và cải thiện các dịch vụ do doanh nghiệp cung cấp.</t>
  </si>
  <si>
    <t>Giám sát hoạt động cung cấp một cái nhìn tổng thể theo thời gian thực về hiệu suất dịch vụ để quản lý và cải thiện các dịch vụ do doanh nghiệp và các đối tác trong hệ sinh thái của doanh nghiệp cung cấp.</t>
  </si>
  <si>
    <t>4.4.6</t>
  </si>
  <si>
    <t>Hoạt động quản lý doanh thu</t>
  </si>
  <si>
    <t>Các công nghệ số chưa được doanh nghiệp sử dụng để đảm bảo doanh thu.</t>
  </si>
  <si>
    <t>Các công nghệ số được doanh nghiệp sử dụng một phần để đảm bảo doanh thu.</t>
  </si>
  <si>
    <t>Các công nghệ số được doanh nghiệp sử dụng để đảm bảo doanh thu.</t>
  </si>
  <si>
    <t>Các công nghệ số được doanh nghiệp sử dụng rộng rãi để đảm bảo doanh thu theo thời gian thực.</t>
  </si>
  <si>
    <t>Các công nghệ số được doanh nghiệp và các đối tác trong hệ sinh thái của doanh nghiệp sử dụng rộng rãi để đảm bảo doanh thu theo thời gian thực.</t>
  </si>
  <si>
    <t>4.4.7</t>
  </si>
  <si>
    <t>Hoạt động quản lý gian lận</t>
  </si>
  <si>
    <t>AI ứng dụng trong quản lý rủi ro và tín dụng; hệ thống cảnh báo sớm và giám sát rủi ro; chưa nêu cụ thể công nghệ ngăn chặn gian lận thời gian thực.</t>
  </si>
  <si>
    <t>https://thitruongtaichinhtiente.vn/vietinbank-du-lieu-lam-nen-tang-ai-lam-dong-luc-chuyen-doi-so-84986.html; https://thitruongtaichinhtiente.vn/nganh-ngan-hang-voi-co-hoi-moi-tu-ky-nguyen-ai-85397.html</t>
  </si>
  <si>
    <t>Các công nghệ số chưa được doanh nghiệp sử dụng để ngăn chặn rủi ro.</t>
  </si>
  <si>
    <t>Các công nghệ số được doanh nghiệp sử dụng một phần để ngăn chặn gian lận.</t>
  </si>
  <si>
    <t>Các công nghệ số được doanh nghiệp sử dụng để ngăn chặn gian lận.</t>
  </si>
  <si>
    <t>Các công nghệ số được doanh nghiệp sử dụng rộng rãi để ngăn chặn gian lận trong thời gian thực.</t>
  </si>
  <si>
    <t>Các công nghệ số được doanh nghiệp và các đối tác trong hệ sinh thái của doanh nghiệp sử dụng rộng rãi để ngăn chặn gian lận trong thời gian thực.</t>
  </si>
  <si>
    <t>4.4.8</t>
  </si>
  <si>
    <t>Vận hành hệ thống</t>
  </si>
  <si>
    <t>Tối ưu hóa hệ thống Core Banking, hoàn tất tối ưu SWIFT, đạt chuẩn ISO 20022; hiện đại hóa hạ tầng thanh toán.</t>
  </si>
  <si>
    <t>Nâng cấp, cải tiến hệ thống sẵn có chỉ được thực hiện theo sự vụ.</t>
  </si>
  <si>
    <t>Các hệ thống cũ được nâng cấp và tích hợp một phần vào các hoạt động tổng thể.</t>
  </si>
  <si>
    <t>Các hệ thống cũ được nâng cấp và tích hợp vào các hoạt động tổng thể.</t>
  </si>
  <si>
    <t>Các hệ thống cũ được nâng cấp và tích hợp đầy đủ và liền mạch vào các hoạt động tổng thể.</t>
  </si>
  <si>
    <t>Các hệ thống cũ của doanh nghiệp và đối tác trong hệ sinh thái của doanh nghiệp được nâng cấp và tích hợp đầy đủ và liền mạch vào các hoạt động tổng thể.</t>
  </si>
  <si>
    <t>Giá trị doanh nghiệp</t>
  </si>
  <si>
    <t>5.1.1</t>
  </si>
  <si>
    <t>Hành vi lãnh đạo</t>
  </si>
  <si>
    <t>Lãnh đạo cam kết tăng tốc CĐS; từ 2026 đưa MAU iPay/eFAST vào đánh giá giám đốc chi nhánh; gắn đổi mới với đánh giá, thi đua.</t>
  </si>
  <si>
    <t>https://investor.vietinbank.vn/documents/20126/a90d3d14-49e7-6f23-0e6c-7625baf56018; https://diendandoanhnghiep.vn/vietinbank-du-kien-tong-tai-san-tang-truong-tu-8-10-nam-2025-10153234.html</t>
  </si>
  <si>
    <t>Hành vi của lãnh đạo được thực hiện theo sự vụ, chưa có sự liên kết rõ ràng với chiến lược và hoàn cảnh của doanh nghiệp.</t>
  </si>
  <si>
    <t>Hành vi lãnh đạo trong một số bộ phận, đơn vị chức năng phù hợp với chiến lược và bối cảnh của doanh nghiệp.</t>
  </si>
  <si>
    <t>Hành vi lãnh đạo trong hầu hết các bộ phận, đơn vị chức năng phù hợp với chiến lược và bối cảnh của doanh nghiệp.</t>
  </si>
  <si>
    <t>Hành vi lãnh đạo trong toàn doanh nghiệp hoàn toàn phù hợp với chiến lược và bối cảnh của doanh nghiệp.</t>
  </si>
  <si>
    <t>Hành vi lãnh đạo trong toàn doanh nghiệp và các đối tác trong hệ sinh thái hoàn toàn phù hợp với chiến lược và bối cảnh chung của họ.</t>
  </si>
  <si>
    <t>5.1.2</t>
  </si>
  <si>
    <t>Tác động của nhân viên</t>
  </si>
  <si>
    <t>Nhân viên chưa hiểu tác động của họ đối với doanh nghiệp.</t>
  </si>
  <si>
    <t>Nhân viên trong một số bộ phận, đơn vị chức năng hiểu tác động của họ ở cấp độ bộ phận, đơn vị chức năng.</t>
  </si>
  <si>
    <t>Nhân viên trong hầu hết các bộ phận, đơn vị chức năng hiểu tác động của họ ở cấp độ bộ phận, đơn vị chức năng.</t>
  </si>
  <si>
    <t>Tất cả nhân viên của doanh nghiệp hiểu đầy đủ tác động của họ đối với doanh nghiệp.</t>
  </si>
  <si>
    <t>Tất cả nhân viên của doanh nghiệp và các đối tác trong hệ sinh thái của doanh nghiệp hiểu đầy đủ về tác động và đóng góp của họ đối với hoạt động kinh doanh chung của họ.</t>
  </si>
  <si>
    <t>5.1.3</t>
  </si>
  <si>
    <t>Giá trị được chia sẻ</t>
  </si>
  <si>
    <t>Lan tỏa tinh thần CĐS toàn hệ thống; xây dựng 'DNA số' cho tổ chức; chương trình đào tạo kỹ năng số.</t>
  </si>
  <si>
    <t>Nhân viên chưa biết chiến lược chuyển đổi số.</t>
  </si>
  <si>
    <t>Nhân viên trong một số bộ phận, đơn vị chức năng ủng hộ chiến lược số của doanh nghiệp.</t>
  </si>
  <si>
    <t>Nhân viên ở hầu hết các bộ phận, đơn vị chức năng tin tưởng vào chiến lược số của doanh nghiệp.</t>
  </si>
  <si>
    <t>Tất cả nhân viên hoàn toàn tin tưởng vào chiến lược số của doanh nghiệp.</t>
  </si>
  <si>
    <t>Tất cả nhân viên hoàn toàn đồng ý với chiến lược số được chia sẻ của doanh nghiệp và các đối tác trong hệ sinh thái của doanh nghiệp.</t>
  </si>
  <si>
    <t>5.1.4</t>
  </si>
  <si>
    <t>Thất bại có kiểm soát</t>
  </si>
  <si>
    <t>Văn hóa chưa khuyến khích sự minh bạch và sự thất bại.</t>
  </si>
  <si>
    <t>Một số bộ phận, đơn vị chức năng có văn hóa cho phép “thất bại trong một giới hạn nhất định” với các cơ chế được áp dụng để giảm thiểu các tác động ảnh hưởng.</t>
  </si>
  <si>
    <t>Hầu hết các bộ phận, đơn vị chức năng có văn hóa cho phép “thất bại trong một giới hạn nhất định” với các cơ chế được áp dụng để giảm thiểu các tác động ảnh hưởng.</t>
  </si>
  <si>
    <t>Toàn bộ doanh nghiệp có văn hóa cho phép “thất bại trong một giới hạn nhất định” với các cơ chế được áp dụng để giảm thiểu các tác động ảnh hưởng.</t>
  </si>
  <si>
    <t>Toàn bộ doanh nghiệp và các đối tác trong hệ sinh thái của doanh nghiệp có văn hóa cho phép “thất bại trong 1 giới hạn nhất định” với các cơ chế được áp dụng để giảm thiểu các tác động ảnh hưởng.</t>
  </si>
  <si>
    <t>5.1.5</t>
  </si>
  <si>
    <t>Cộng tác ảo</t>
  </si>
  <si>
    <t>Triển khai giải pháp họp trực tuyến VietinBank Genie Meeting (đạt Sao Khuê 2026); tăng họp online với các đơn vị tại tỉnh/thành khác; kết hợp đào tạo online và trực tiếp.</t>
  </si>
  <si>
    <t>58-59; web</t>
  </si>
  <si>
    <t>Cộng tác ảo được thực hiện theo sự vụ.</t>
  </si>
  <si>
    <t>Một số bộ phận, đơn vị chức năng có khả năng cho phép cộng tác ảo.</t>
  </si>
  <si>
    <t>Hầu hết các bộ phận, đơn vị chức năng đều có khả năng cộng tác ảo.</t>
  </si>
  <si>
    <t>Toàn bộ doanh nghiệp có khả năng toàn diện cộng tác ảo trong và giữa các bộ phận, đơn vị chức năng.</t>
  </si>
  <si>
    <t>Toàn bộ doanh nghiệp và các đối tác trong hệ sinh thái của doanh nghiệp có khả năng toàn diện cộng tác ảo trong và giữa các bộ phận, đơn vị chức năng.</t>
  </si>
  <si>
    <t>5.1.6</t>
  </si>
  <si>
    <t>Sự hòa nhập</t>
  </si>
  <si>
    <t>Không phân biệt giới trong tuyển dụng và đãi ngộ; Ban Vì sự tiến bộ phụ nữ; 57,25% quản lý và 61,4% nhân viên là nữ; chính sách phát triển nghề nghiệp công bằng.</t>
  </si>
  <si>
    <t>36-37</t>
  </si>
  <si>
    <t>Các hoạt động thúc đẩy sự hòa nhập trong doanh nghiệp chỉ được thực hiện theo sự vụ.</t>
  </si>
  <si>
    <t>Một số bộ phận, đơn vị chức năng thúc đẩy toàn diện sự hòa nhập.</t>
  </si>
  <si>
    <t>Hầu hết các bộ phận, đơn vị chức năng thúc đẩy toàn diện sự hòa nhập.</t>
  </si>
  <si>
    <t>doanh nghiệp hoàn toàn chấp nhận sự hòa nhập.</t>
  </si>
  <si>
    <t>Doanh nghiệp và các đối tác hệ sinh thái của doanh nghiệp hoàn toàn chấp nhận sự hòa nhập.</t>
  </si>
  <si>
    <t>Quản lý tài năng</t>
  </si>
  <si>
    <t>5.2.1</t>
  </si>
  <si>
    <t>Chính sách đãi ngộ</t>
  </si>
  <si>
    <t>Chi phí nhân sự 15.853 tỷ đồng; chương trình khuyến khích, đánh giá theo KPI; gắn đổi mới với đánh giá và thi đua.</t>
  </si>
  <si>
    <t>28-29; 38-39; 46-47</t>
  </si>
  <si>
    <t>Chính sách đãi ngộ được áp dụng một cách cứng nhắc và chưa thúc đẩy chiến lược chuyển đổi số.</t>
  </si>
  <si>
    <t>Chính sách đãi ngộ hoàn toàn phù hợp với và được hiển thị để thúc đẩy chiến lược số của một số bộ phận, đơn vị chức năng.</t>
  </si>
  <si>
    <t>Chính sách đãi ngộ hoàn toàn phù hợp và được hiển thị để thúc đẩy chiến lược số của hầu hết các bộ phận, đơn vị chức năng.</t>
  </si>
  <si>
    <t>Chính sách đãi ngộ hoàn toàn phù hợp và được thể hiện để thúc đẩy chiến lược số của doanh nghiệp.</t>
  </si>
  <si>
    <t>Chính sách đãi ngộ hoàn toàn phù hợp và được thể hiện để thúc đẩy chiến lược số của doanh nghiệp và các đối tác trong hệ sinh thái của doanh nghiệp.</t>
  </si>
  <si>
    <t>5.2.2</t>
  </si>
  <si>
    <t>Năng lực cơ bản</t>
  </si>
  <si>
    <t>Xác định cán bộ tiềm năng qua các nhóm NextGen và Top 500; đánh giá năng lực theo KPI. Chưa có hồ sơ năng lực công khai.</t>
  </si>
  <si>
    <t>28-29; 58-59</t>
  </si>
  <si>
    <t>Doanh nghiệp chưa có một hồ sơ cấu trúc về năng lực của lực lượng lao động.</t>
  </si>
  <si>
    <t>Một số bộ phận, đơn vị chức năng chưa có một hồ sơ cấu trúc về năng lực của lực lượng lao động của họ.</t>
  </si>
  <si>
    <t>Hầu hết các bộ phận, đơn vị chức năng đã có một hồ sơ cấu trúc về năng lực của lực lượng lao động của họ.</t>
  </si>
  <si>
    <t>Toàn bộ doanh nghiệp có một hồ sơ cấu trúc chính xác về năng lực của lực lượng lao động của mình.</t>
  </si>
  <si>
    <t>Toàn bộ doanh nghiệp và các đối tác trong hệ sinh thái của doanh nghiệp có hồ sơ cấu trúc chính xác về năng lực của lực lượng lao động được chia sẻ.</t>
  </si>
  <si>
    <t>5.2.3</t>
  </si>
  <si>
    <t>Lập kế hoạch phát triển lực lượng lao động</t>
  </si>
  <si>
    <t>Dự án 'Tinh gọn, đổi mới, nâng cao chất lượng nhân sự'; đào tạo kỹ năng số, phân tích dữ liệu, tư duy đổi mới.</t>
  </si>
  <si>
    <t>46-47; 58-59</t>
  </si>
  <si>
    <t>Các kỹ năng cần thiết để triển khai chiến lược chuyển đổi số được xác định được thực hiện theo sự vụ.</t>
  </si>
  <si>
    <t>Một số bộ phận có sẵn quy trình xác định các kỹ năng cần thiết để thực hiện chiến lược số.</t>
  </si>
  <si>
    <t>Hầu hết các bộ phận, đơn vị chức năng đều có quy trình hiệu quả để xác định các kỹ năng cần thiết để thực hiện chiến lược số.</t>
  </si>
  <si>
    <t>Toàn bộ doanh nghiệp có sẵn một quy trình hiệu quả để xác định các kỹ năng cần thiết để thực hiện chiến lược số.</t>
  </si>
  <si>
    <t>Toàn bộ doanh nghiệp và các đối tác trong hệ sinh thái của doanh nghiệp có một quy trình hiệu quả để xác định các kỹ năng cần thiết nhằm thực hiện chiến lược số.</t>
  </si>
  <si>
    <t>5.2.4</t>
  </si>
  <si>
    <t>Thu hút nhân tài</t>
  </si>
  <si>
    <t>Tuyển dụng nội bộ, nhận diện nhân sự tiềm năng; xác định đáp ứng tiêu chuẩn vị trí. Chưa thấy nguồn nhân tài phi truyền thống.</t>
  </si>
  <si>
    <t>Các kỹ năng cần thiết để doanh nghiệp triển khai chiến lược chuyển đổi số.</t>
  </si>
  <si>
    <t>Một số bộ phận, đơn vị chức năng có sẵn quy trình để đạt các kỹ năng cần thiết để thực hiện chiến lược số.</t>
  </si>
  <si>
    <t>Hầu hết các bộ phận, đơn vị chức năng đều có quy trình hiệu quả để đạt các kỹ năng cần thiết nhằm thực hiện chiến lược số, bao gồm cả việc sử dụng các nguồn lực nhân tài phi truyền thống.</t>
  </si>
  <si>
    <t>Toàn bộ doanh nghiệp có quy trình hiệu quả để đạt các kỹ năng cần thiết nhằm thực hiện chiến lược số, bao gồm cả việc sử dụng các nguồn lực nhân tài phi truyền thống.</t>
  </si>
  <si>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</si>
  <si>
    <t>5.2.5</t>
  </si>
  <si>
    <t>Nhóm tài năng bên ngoài</t>
  </si>
  <si>
    <t>Tuyển dụng công nghệ năm 2024 tăng 50% so với 2023 (nhân sự công nghệ tăng 250% đến 2025 theo bài 2026); hợp tác chiến lược với Học viện Ngân hàng, Học viện Tài chính, ĐH Kinh tế Quốc dân, ĐH Bách khoa Hà Nội, ĐH FPT; có chương trình thực tập IT cho sinh viên; mục tiêu tuyển Data Scientist, Data Engineer, AI/ML Engineer, Cloud, DevSecOps, Product Owner. Phạm vi chủ yếu nhóm nhân lực công nghệ/số, chưa có xác nhận là nhà tuyển dụng hấp dẫn toàn ngân hàng.</t>
  </si>
  <si>
    <t>https://www.sggp.org.vn/vietinbank-nhan-tai-la-trai-tim-cua-chuyen-doi-post799169.html; https://vietnamfinance.vn/chuyen-doi-so-cu-hich-chien-luoc-cua-vietinbank-d140898.html</t>
  </si>
  <si>
    <t>Doanh nghiệp chưa nuôi dưỡng nguồn tài năng bên ngoài.</t>
  </si>
  <si>
    <t>Một số bộ phận, đơn vị chức năng đã thiết lập một nhóm tài năng từ những nhân viên tiềm năng.</t>
  </si>
  <si>
    <t>Hầu hết bộ phận, đơn vị chức năng đã thiết lập một nhóm tài năng từ những nhân viên tiềm năng.</t>
  </si>
  <si>
    <t>Toàn bộ doanh nghiệp được coi là một nhà tuyển dụng hấp dẫn với đội ngũ nhân tài tiềm năng đã được thiết lập.</t>
  </si>
  <si>
    <t>Toàn bộ doanh nghiệp và các đối tác trong hệ sinh thái của doanh nghiệp được coi là những nhà tuyển dụng hấp dẫn với đội ngũ nhân tài tiềm năng lâu đời.</t>
  </si>
  <si>
    <t>5.2.6</t>
  </si>
  <si>
    <t>Phát triển tài năng</t>
  </si>
  <si>
    <t>Năm 2025: 1.105 khóa đào tạo, 289.442 lượt học viên; hơn 400 khóa kỹ năng bán hàng; chương trình NextGen và Top 500.</t>
  </si>
  <si>
    <t>36-37; 58-59</t>
  </si>
  <si>
    <t>Việc phát triển tài năng chỉ được thực hiện theo sự vụ.</t>
  </si>
  <si>
    <t>Một số bộ phận, đơn vị chức năng có quy trình phát triển nhân tài.</t>
  </si>
  <si>
    <t>Hầu hết các bộ phận, đơn vị chức năng đều có quy trình phát triển nhân tài hiệu quả.</t>
  </si>
  <si>
    <t>Toàn bộ doanh nghiệp có quy trình phát triển nhân tài hiệu quả.</t>
  </si>
  <si>
    <t>Toàn bộ doanh nghiệp và các đối tác trong hệ sinh thái của doanh nghiệp có một quy trình hiệu quả để phát triển tài năng.</t>
  </si>
  <si>
    <t>5.2.7</t>
  </si>
  <si>
    <t>Học tập trên môi trường số</t>
  </si>
  <si>
    <t>Hơn 2,6 triệu lượt học online về CĐS (khoảng 3 triệu lượt học online theo mục tiết kiệm); &gt;300 học liệu e-learning; gần 40.000 tương tác minigame ôn kiến thức.</t>
  </si>
  <si>
    <t>Học tập trên môi trường số chỉ được thực hiện theo sự vụ.</t>
  </si>
  <si>
    <t>Học tập trên môi trường số đang mang lại giá trị kinh doanh ở một số bộ phận, đơn vị chức năng.</t>
  </si>
  <si>
    <t>Học tập trên môi trường số đang mang lại giá trị kinh doanh trên hầu hết các bộ phận, đơn vị chức năng.</t>
  </si>
  <si>
    <t>Học tập trên môi trường số đang mang lại giá trị kinh doanh rõ ràng trong doanh nghiệp.</t>
  </si>
  <si>
    <t>Học tập trên môi trường số đang mang lại giá trị kinh doanh rõ ràng trong và trên toàn doanh nghiệp cũng như các đối tác trong hệ sinh thái của doanh nghiệp.</t>
  </si>
  <si>
    <t>5.2.8</t>
  </si>
  <si>
    <t>Sự gắn kết của người lao động</t>
  </si>
  <si>
    <t>Khảo sát mức độ hài lòng nhân viên; họp toàn thể nhân viên ít nhất mỗi năm; kênh nội bộ tiếp nhận ý kiến và phản ánh.</t>
  </si>
  <si>
    <t>Sự gắn kết của người lao động chưa được đo lường.</t>
  </si>
  <si>
    <t>Doanh nghiệp đang bắt đầu đánh giá sự gắn kết của người lao động.</t>
  </si>
  <si>
    <t>Doanh nghiệp thường xuyên đánh giá sự gắn kết của người lao động.</t>
  </si>
  <si>
    <t>Doanh nghiệp thường xuyên đánh giá sự gắn kết của người lao động và tạo ra các kế hoạch hành động nhằm thúc đẩy cải tiến sự gắn kết.</t>
  </si>
  <si>
    <t>Doanh nghiệp và các đối tác trong hệ sinh thái của doanh nghiệp thường xuyên đánh giá - Mức độ gắn kết của người lao động và lập kế hoạch hành động nhằm thúc đẩy cải tiến sự gắn kết.</t>
  </si>
  <si>
    <t>Hỗ trợ môi trường làm việc</t>
  </si>
  <si>
    <t>5.3.1</t>
  </si>
  <si>
    <t>Môi trường thúc đẩy năng suất</t>
  </si>
  <si>
    <t>Năng suất lao động bình quân (thu nhập hoạt động/người) tăng 35% so với 2024; tinh gọn bộ máy.</t>
  </si>
  <si>
    <t>Môi trường làm việc chưa chú trọng xem xét thúc đẩy tăng năng suất.</t>
  </si>
  <si>
    <t>Một số bộ phận, đơn vị chức năng đã tạo ra môi trường làm việc thúc đẩy tăng năng suất.</t>
  </si>
  <si>
    <t>Hầu hết các bộ phận, đơn vị chức năng đã tạo ra môi trường làm việc thúc đẩy tăng năng suất.</t>
  </si>
  <si>
    <t>Toàn bộ doanh nghiệp đã tạo ra những môi trường làm việc thúc đẩy tăng năng suất.</t>
  </si>
  <si>
    <t>Toàn bộ doanh nghiệp và các đối tác trong hệ sinh thái của doanh nghiệp đã cùng nhau tạo ra những môi trường làm việc thúc đẩy năng suất một cách tăng.</t>
  </si>
  <si>
    <t>5.3.2</t>
  </si>
  <si>
    <t>Môi trường thúc đẩy đổi mới sáng tạo</t>
  </si>
  <si>
    <t>Cuộc thi AI Workup: 28.830 ý tưởng, 34 giải pháp được chọn; xây dựng văn hóa đổi mới, nguồn sáng kiến thường xuyên.</t>
  </si>
  <si>
    <t>36-37; 46-47</t>
  </si>
  <si>
    <t>Nơi làm việc chưa chú trọng xem xét thúc đẩy đổi mới sáng tạo.</t>
  </si>
  <si>
    <t>Một số bộ phận, đơn vị chức năng đã tạo ra môi trường làm việc thúc đẩy đổi mới một cách hiệu quả.</t>
  </si>
  <si>
    <t>Hầu hết các bộ phận, đơn vị chức năng đã tạo ra môi trường làm việc thúc đẩy sự đổi mới một cách hiệu quả.</t>
  </si>
  <si>
    <t>Toàn bộ doanh nghiệp đã tạo ra những môi trường làm việc thúc đẩy sự đổi mới một cách hiệu quả.</t>
  </si>
  <si>
    <t>Toàn bộ doanh nghiệp và các đối tác trong hệ sinh thái của doanh nghiệp đã cùng nhau tạo ra những môi trường làm việc thúc đẩy sự đổi mới một cách hiệu quả.</t>
  </si>
  <si>
    <t>5.3.3</t>
  </si>
  <si>
    <t>Công cụ thúc đẩy tăng năng suất</t>
  </si>
  <si>
    <t>Nền tảng MyGenie cho cán bộ tự xây dựng trợ lý AI (&gt;1.100 AI Agent trong 5 tháng); Genie Meeting; số hóa quy trình nội bộ.</t>
  </si>
  <si>
    <t>https://thitruongtaichinhtiente.vn/vietinbank-du-lieu-lam-nen-tang-ai-lam-dong-luc-chuyen-doi-so-84986.html; https://investor.vietinbank.vn/documents/20126/a90d3d14-49e7-6f23-0e6c-7625baf56018</t>
  </si>
  <si>
    <t>Công cụ chưa có sẵn để thúc đẩy tăng năng suất.</t>
  </si>
  <si>
    <t>Một số bộ phận, đơn vị chức năng có một bộ công cụ toàn diện giúp thúc đẩy tăng năng suất.</t>
  </si>
  <si>
    <t>Hầu hết các bộ phận, đơn vị chức năng đều có một bộ công cụ toàn diện giúp thúc đẩy tăng năng suất.</t>
  </si>
  <si>
    <t>Toàn bộ doanh nghiệp có một bộ công cụ toàn diện giúp thúc đẩy tăng năng suất.</t>
  </si>
  <si>
    <t>Toàn bộ doanh nghiệp và các đối tác trong hệ sinh thái của doanh nghiệp có một bộ công cụ toàn diện giúp thúc đẩy năng suất một cách tăng.</t>
  </si>
  <si>
    <t>5.3.4</t>
  </si>
  <si>
    <t>Công cụ thúc đẩy đổi mới sáng tạo</t>
  </si>
  <si>
    <t>Nền tảng MyGenie trao quyền cán bộ tự tạo trợ lý AI; cuộc thi AI Workup; 8 CoE hỗ trợ đổi mới.</t>
  </si>
  <si>
    <t>Doanh nghiệp chưa có công cụ để thúc đẩy đổi mới sáng tạo.</t>
  </si>
  <si>
    <t>Một số bộ phận, đơn vị chức năng có một bộ công cụ toàn diện giúp thúc đẩy đổi mới một cách hiệu quả.</t>
  </si>
  <si>
    <t>Hầu hết các bộ phận, đơn vị chức năng đều có một bộ công cụ toàn diện giúp thúc đẩy đổi mới một cách hiệu quả.</t>
  </si>
  <si>
    <t>Toàn bộ doanh nghiệp có một bộ công cụ toàn diện giúp thúc đẩy đổi mới một cách hiệu quả</t>
  </si>
  <si>
    <t>Toàn bộ doanh nghiệp và các đối tác trong hệ sinh thái của mình có một bộ công cụ toàn diện giúp thúc đẩy đổi mới một cách hiệu quả.</t>
  </si>
  <si>
    <t>5.3.5</t>
  </si>
  <si>
    <t>Chính sách thúc đẩy tăng năng suất</t>
  </si>
  <si>
    <t>Dự án tinh gọn bộ máy và nhân sự; giảm trung gian phối hợp; năng suất lao động tăng 35%.</t>
  </si>
  <si>
    <t>Chính sách làm việc chưa thúc đẩy tăng năng suất.</t>
  </si>
  <si>
    <t>Một số bộ phận, đơn vị chức năng có các chính sách làm việc giúp thúc đẩy tăng năng suất.</t>
  </si>
  <si>
    <t>Hầu hết các bộ phận, đơn vị chức năng đều duy trì các chính sách làm việc nhằm thúc đẩy tăng năng suất.</t>
  </si>
  <si>
    <t>Toàn bộ doanh nghiệp duy trì các chính sách làm việc thúc đẩy tăng năng suất.</t>
  </si>
  <si>
    <t>Toàn bộ doanh nghiệp và các đối tác trong hệ sinh thái của mình cùng nhau duy trì các chính sách làm việc nhằm thúc đẩy năng suất một cách tăng.</t>
  </si>
  <si>
    <t>5.3.6</t>
  </si>
  <si>
    <t>Chính sách thúc đẩy đổi mới sáng tạo</t>
  </si>
  <si>
    <t>Gắn đổi mới với đánh giá, thi đua và phát triển năng lực; khuyến khích cán bộ chi nhánh đề xuất và thử nghiệm sáng kiến.</t>
  </si>
  <si>
    <t>Chính sách làm việc chưa thúc đẩy đổi mới sáng tạo.</t>
  </si>
  <si>
    <t>Một số bộ phận, đơn vị chức năng có các chính sách làm việc giúp thúc đẩy đổi mới một cách hiệu quả.</t>
  </si>
  <si>
    <t>Hầu hết các bộ phận, đơn vị chức năng duy trì các chính sách làm việc nhằm thúc đẩy đổi mới một cách hiệu quả.</t>
  </si>
  <si>
    <t>Toàn bộ doanh nghiệp duy trì các chính sách làm việc thúc đẩy hiệu quả sự đổi mới.</t>
  </si>
  <si>
    <t>Toàn bộ doanh nghiệp và các đối tác trong hệ sinh thái của mình cùng nhau duy trì các chính sách đang hoạt động nhằm thúc đẩy đổi mới một cách hiệu quả.</t>
  </si>
  <si>
    <t>5.3.7</t>
  </si>
  <si>
    <t>Nắm bắt tri thức</t>
  </si>
  <si>
    <t>Xây dựng &gt;300 học liệu e-learning, video bài giảng, ngân hàng đề thi; chưa nêu cơ chế nắm bắt tri thức toàn ngân hàng.</t>
  </si>
  <si>
    <t>Nắm bắt tri thức được thực hiện theo sự vụ.</t>
  </si>
  <si>
    <t>Một số bộ phận, đơn vị chức năng nắm bắt tri thức hiệu quả.</t>
  </si>
  <si>
    <t>Hầu hết các bộ phận, đơn vị chức năng nắm bắt tri thức một cách hiệu quả.</t>
  </si>
  <si>
    <t>Doanh nghiệp nắm bắt hiệu quả tri thức trong toàn doanh nghiệp.</t>
  </si>
  <si>
    <t>Doanh nghiệp và các đối tác trong hệ sinh thái của doanh nghiệp nắm bắt tri thức một cách hiệu quả trên toàn hệ sinh thái.</t>
  </si>
  <si>
    <t>5.3.8</t>
  </si>
  <si>
    <t>Chia sẻ tri thức</t>
  </si>
  <si>
    <t>Tổ chức chương trình chia sẻ kinh nghiệm nội bộ; chương trình học kết hợp lý thuyết và thực hành; gameshow ôn kiến thức.</t>
  </si>
  <si>
    <t>Chia sẻ tri thức được thực hiện theo sự vụ.</t>
  </si>
  <si>
    <t>Một số bộ phận, đơn vị chức năng chia sẻ tri thức một cách hiệu quả.</t>
  </si>
  <si>
    <t>Hầu hết các bộ phận, đơn vị chức năng chia sẻ tri thức một cách hiệu quả.</t>
  </si>
  <si>
    <t>Doanh nghiệp chia sẻ tri thức một cách hiệu quả trong toàn doanh nghiệp.</t>
  </si>
  <si>
    <t>Doanh nghiệp và các đối tác trong hệ sinh thái của doanh nghiệp chia sẻ tri thức một cách hiệu quả trên toàn hệ sinh thái.</t>
  </si>
  <si>
    <t>Quản trị dữ liệu</t>
  </si>
  <si>
    <t>6.1.1</t>
  </si>
  <si>
    <t>Quản lý siêu dữ liệu</t>
  </si>
  <si>
    <t>Có ít siêu dữ liệu được thực hiện theo sự vụ hoặc chưa xác định.</t>
  </si>
  <si>
    <t>Siêu dữ liệu bắt đầu chuẩn hóa phân loại trong một số bộ phận, đơn vị chức năng.</t>
  </si>
  <si>
    <t>Siêu dữ liệu được định nghĩa sử dụng phân loại theo chức năng.</t>
  </si>
  <si>
    <t>Siêu dữ liệu liên tục được tối ưu hóa trong doanh nghiệp.</t>
  </si>
  <si>
    <t>Siêu dữ liệu liên tục được tối ưu hóa trong doanh nghiệp và các đối tác trong hệ sinh thái của doanh nghiệp.</t>
  </si>
  <si>
    <t>6.1.2</t>
  </si>
  <si>
    <t>Quản lý dữ liệu</t>
  </si>
  <si>
    <t>Khối Dữ liệu &amp; AI (3/2025) là đầu mối quản trị, bảo mật, khai phá dữ liệu; chưa nêu cụ thể nhân sự phụ trách từng tài sản dữ liệu.</t>
  </si>
  <si>
    <t>Việc quản lý dữ liệu chỉ được thực hiện theo sự vụ.</t>
  </si>
  <si>
    <t>Bắt đầu có nhân sự quản lý dữ liệu và chịu trách nhiệm đối với một số tài sản dữ liệu của doanh nghiệp.</t>
  </si>
  <si>
    <t>Có nhân sự quản lý dữ liệu và chịu trách nhiệm đối với hầu hết các tài sản dữ liệu của doanh nghiệp.</t>
  </si>
  <si>
    <t>Có nhân sự quản lý dữ liệu và chịu trách nhiệm hoàn toàn đối với tất cả tài sản dữ liệu của doanh nghiệp.</t>
  </si>
  <si>
    <t>Có nhân sự quản lý dữ liệu và chịu trách nhiệm hoàn toàn đối với tất cả tài sản dữ liệu của doanh nghiệp và các đối tác trong hệ sinh thái của doanh nghiệp.</t>
  </si>
  <si>
    <t>6.1.3</t>
  </si>
  <si>
    <t>Quản lý dữ liệu chủ</t>
  </si>
  <si>
    <t>Quản lý dữ liệu chủ chỉ được thực hiện theo sự vụ.</t>
  </si>
  <si>
    <t>Quản lý dữ liệu chủ đang bắt đầu được áp dụng trong một số bộ phận, đơn vị chức năng.</t>
  </si>
  <si>
    <t>Quản lý dữ liệu chủ được xác định trong các khu vực chức năng.</t>
  </si>
  <si>
    <t>Quản lý dữ liệu chủ được tối ưu hóa nhất quán trong toàn doanh nghiệp.</t>
  </si>
  <si>
    <t>Quản lý dữ liệu chủ được tối ưu hóa nhất quán cho các đối tác trong hệ sinh thái của doanh nghiệp.</t>
  </si>
  <si>
    <t>6.1.4</t>
  </si>
  <si>
    <t>Quản lý bảo mật dữ liệu</t>
  </si>
  <si>
    <t>Khối Dữ liệu &amp; AI phụ trách quản trị, bảo mật dữ liệu; không ghi nhận vi phạm dữ liệu khách hàng 2025.</t>
  </si>
  <si>
    <t>40-41; 46-47</t>
  </si>
  <si>
    <t>Quản lý bảo mật dữ liệu chỉ được thực hiện theo sự vụ.</t>
  </si>
  <si>
    <t>Quản lý bảo mật dữ liệu đang bắt đầu được xác định ở một số bộ phận, đơn vị chức năng.</t>
  </si>
  <si>
    <t>Quản lý bảo mật dữ liệu được tích hợp với yêu cầu quy định về bảo vệ dữ liệu và quyền riêng tư và được sử dụng trong một số khu vực chức năng.</t>
  </si>
  <si>
    <t>Quản lý bảo mật dữ liệu được tích hợp với yêu cầu quy định về bảo vệ dữ liệu và quyền riêng tư và được sử dụng trong toàn doanh nghiệp.</t>
  </si>
  <si>
    <t>Quản lý bảo mật dữ liệu được tích hợp với yêu cầu quy định về bảo vệ dữ liệu và quyền riêng tư, đồng thời được sử dụng giữa các đối tác trong hệ sinh thái của doanh nghiệp.</t>
  </si>
  <si>
    <t>6.1.5</t>
  </si>
  <si>
    <t>Quản lý chính sách dữ liệu</t>
  </si>
  <si>
    <t>VietinBank có Hội đồng Quản lý Dữ liệu từ 2019 và vị trí Giám đốc Dữ liệu (CDO) phụ trách mục tiêu, phạm vi, chính sách quản trị dữ liệu (bài 2021). Đầu 2025 thành lập Khối Dữ liệu &amp; AI với trụ cột quản trị dữ liệu toàn diện. Có Điều khoản và điều kiện về bảo vệ dữ liệu cá nhân áp dụng cho khách hàng toàn ngân hàng. Không thấy văn bản chính sách dữ liệu nội bộ chung được công bố.</t>
  </si>
  <si>
    <t>https://thitruongtaichinhtiente.vn/quan-tri-du-lieu-ngan-hang-trong-nen-kinh-te-so-37730.html; https://vneconomy.vn/du-lieu-va-tri-tue-nhan-tao-chia-khoa-giup-vietinbank-tang-toc-chuyen-doi-so.htm; https://www.sggp.org.vn/vietinbank-dat-doanh-nghiep-chuyen-doi-so-xuat-sac-2025-post817750.html; https://vietinbank.vn/assets/a9b57f80-723c-4b4a-b571-b1d1640902f4</t>
  </si>
  <si>
    <t>Doanh nghiệp chưa có chính sách dữ liệu chính thức.</t>
  </si>
  <si>
    <t>Doanh nghiệp bắt đầu xây dựng chính sách dữ liệu.</t>
  </si>
  <si>
    <t>Chính sách dữ liệu theo bộ phận, đơn vị chức năng được áp dụng.</t>
  </si>
  <si>
    <t>Chính sách dữ liệu chung được sử dụng trong toàn doanh nghiệp.</t>
  </si>
  <si>
    <t>Chính sách dữ liệu chung được sử dụng trên các đối tác trong hệ sinh thái của doanh nghiệp.</t>
  </si>
  <si>
    <t>6.1.6</t>
  </si>
  <si>
    <t>Chiến lược dữ liệu</t>
  </si>
  <si>
    <t>Trụ cột Dữ liệu trong X01: dữ liệu là tài sản chiến lược; 'dữ liệu làm nền tảng, AI làm động lực'. Chưa có tài liệu chiến lược dữ liệu độc lập.</t>
  </si>
  <si>
    <t>Doanh nghiệp chưa có chiến lược dữ liệu.</t>
  </si>
  <si>
    <t>Một số bộ phận, đơn vị chức năng có một chiến lược dữ liệu riêng.</t>
  </si>
  <si>
    <t>Mỗi bộ phận, đơn vị chức năng có một chiến lược dữ liệu xác định được sử dụng với kết quả kinh doanh có thể đo lường được.</t>
  </si>
  <si>
    <t>Doanh nghiệp có một chiến lược dữ liệu chung được xác định rõ ràng được doanh nghiệp sử dụng với kết quả kinh doanh có thể đo lường được.</t>
  </si>
  <si>
    <t>Doanh nghiệp có một chiến lược dữ liệu chung được xác định rõ ràng được sử dụng bởi doanh nghiệp và các đối tác trong hệ sinh thái của doanh nghiệp với kết quả kinh doanh có thể đo lường được.</t>
  </si>
  <si>
    <t>6.1.7</t>
  </si>
  <si>
    <t>Tổ chức và vai trò</t>
  </si>
  <si>
    <t>Thành lập Khối Dữ liệu &amp; AI (3/2025) trong sơ đồ tổ chức; đầu mối trung tâm quản trị dữ liệu.</t>
  </si>
  <si>
    <t>14-15; 38-39; 46-47</t>
  </si>
  <si>
    <t>Chưa xác định được vai trò cụ thể trong doanh nghiệp để quản lý dữ liệu.</t>
  </si>
  <si>
    <t>Một số vai trò quản lý dữ liệu đã được xác định.</t>
  </si>
  <si>
    <t>Các vai trò quản lý dữ liệu đã được thực hiện.</t>
  </si>
  <si>
    <t>Vai trò quản lý dữ liệu toàn diện được thực hiện trên toàn doanh nghiệp.</t>
  </si>
  <si>
    <t>Các vai trò quản lý dữ liệu toàn diện được triển khai trên toàn doanh nghiệp và các đối tác trong hệ sinh thái của doanh nghiệp.</t>
  </si>
  <si>
    <t>6.1.8</t>
  </si>
  <si>
    <t>Quản lý quyền riêng tư dữ liệu</t>
  </si>
  <si>
    <t>Bảo vệ quyền riêng tư dữ liệu được công bố và sử dụng cho toàn doanh nghiệp</t>
  </si>
  <si>
    <t>Quản lý quyền riêng tư dữ liệu được thực hiện theo sự vụ.</t>
  </si>
  <si>
    <t>Quản lý quyền riêng tư dữ liệu đang bắt đầu được xác định ở một số bộ phận, đơn vị chức năng.</t>
  </si>
  <si>
    <t>Quản lý quyền riêng tư dữ liệu phù hợp với các yêu cầu quy định về bảo vệ dữ liệu và quyền riêng tư và được sử dụng hiệu quả trong một số lĩnh vực chức năng.</t>
  </si>
  <si>
    <t>Quản lý quyền riêng tư dữ liệu phù hợp với các yêu cầu quy định về bảo vệ dữ liệu và quyền riêng tư và được sử dụng hiệu quả trong toàn doanh nghiệp.</t>
  </si>
  <si>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</si>
  <si>
    <t>Kỹ thuật dữ liệu</t>
  </si>
  <si>
    <t>6.2.1</t>
  </si>
  <si>
    <t>Mô hình hoá dữ liệu</t>
  </si>
  <si>
    <t>Dữ liệu sử dụng bởi doanh nghiệp chưa được xác định và phân loại.</t>
  </si>
  <si>
    <t>Dữ liệu sử dụng bởi một số bộ phận, đơn vị chức năng được xác định và phân loại thành nhiều mô hình dữ liệu.</t>
  </si>
  <si>
    <t>Dữ liệu sử dụng trong hầu hết bộ phận, đơn vị chức năng được xác định và phân loại thành nhiều mô hình dữ liệu.</t>
  </si>
  <si>
    <t>Dữ liệu toàn doanh nghiệp sử dụng được xác định và phân loại thành một mô hình dữ liệu chung.</t>
  </si>
  <si>
    <t>Dữ liệu sử dụng bởi doanh nghiệp và các đối tác trong hệ sinh thái của doanh nghiệp được xác định và phân loại thành một mô hình dữ liệu chung.</t>
  </si>
  <si>
    <t>6.2.2</t>
  </si>
  <si>
    <t>Lưu trữ dữ liệu</t>
  </si>
  <si>
    <t>Điều khoản bảo vệ dữ liệu cá nhân của VietinBank quy định lưu trữ dữ liệu trong thời gian cần thiết cho mục đích xử lý (hoặc lâu hơn nếu luật yêu cầu), khách hàng có quyền yêu cầu xóa dữ liệu; không nêu thời hạn cụ thể hay quy trình xóa chi tiết. Phạm vi toàn ngân hàng nhưng chỉ cho dữ liệu cá nhân.</t>
  </si>
  <si>
    <t>https://vietinbank.vn/assets/a9b57f80-723c-4b4a-b571-b1d1640902f4; https://www.vietinbank.vn/ls/Warning-rcm/T&amp;C-DLCN.pdf</t>
  </si>
  <si>
    <t>Lưu trữ, bảo tồn và xóa dữ liệu được thực hiện theo sự vụ.</t>
  </si>
  <si>
    <t>Một số thao tác xóa và lưu trữ dữ liệu được kiểm soát ở một số bộ phận, đơn vị chức năng.</t>
  </si>
  <si>
    <t>Việc xóa và lưu trữ dữ liệu được kiểm soát trong các bộ phận, đơn vị chức năng.</t>
  </si>
  <si>
    <t>Việc xóa và lưu trữ dữ liệu được kiểm soát tối ưu trong toàn doanh nghiệp.</t>
  </si>
  <si>
    <t>Lưu trữ, xóa và lưu trữ được kiểm soát tối ưu trong toàn doanh nghiệp và các đối tác trong hệ sinh thái của doanh nghiệp.</t>
  </si>
  <si>
    <t>6.2.3</t>
  </si>
  <si>
    <t>Khả năng truy cập dữ liệu</t>
  </si>
  <si>
    <t>Nền tảng Open Banking API ra mắt 2019: hơn 1.000 doanh nghiệp kết nối ERP, hơn 60.000 cá nhân mở tài khoản qua ứng dụng bên thứ ba (Grab, Sendo, Shopee), chiếm hơn 25% tổng giao dịch (số liệu bài 12/2023). Đã kết nối đối tác hệ sinh thái nhưng đây là truy cập dữ liệu giao dịch/tài khoản qua API, không phải truy cập dữ liệu phân tích.</t>
  </si>
  <si>
    <t>https://nhadautu.vn/vietinbank-hien-thuc-hoa-muc-tieu-tro-thanh-ngan-hang-so-hang-dau-d82659.html</t>
  </si>
  <si>
    <t>Khả năng truy cập dữ liệu bị hạn chế.</t>
  </si>
  <si>
    <t>Dữ liệu có thể được truy cập bởi một số bộ phận, đơn vị chức năng.</t>
  </si>
  <si>
    <t>Dữ liệu cần thiết luôn có thể được truy cập bởi các bộ phận, đơn vị chức năng.</t>
  </si>
  <si>
    <t>Dữ liệu cần thiết luôn có thể được truy cập bởi người dùng được doanh nghiệp cấp quyền.</t>
  </si>
  <si>
    <t>Dữ liệu cần thiết luôn có thể được truy cập bởi người dùng được phê duyệt cho doanh nghiệp và đối tác của hệ sinh thái của doanh nghiệp.</t>
  </si>
  <si>
    <t>6.2.4</t>
  </si>
  <si>
    <t>Quản lý vòng đời dữ liệu</t>
  </si>
  <si>
    <t>Quản lý vòng đời dữ liệu được thực hiện theo sự vụ.</t>
  </si>
  <si>
    <t>Quản lý vòng đời dữ liệu được áp dụng ở một số bộ phận, đơn vị chức năng.</t>
  </si>
  <si>
    <t>Quản lý vòng đời dữ liệu được áp dụng nhất quán trong các bộ phận, đơn vị chức năng.</t>
  </si>
  <si>
    <t>Quản lý vòng đời dữ liệu được áp dụng nhất quán trong toàn doanh nghiệp.</t>
  </si>
  <si>
    <t>Quản lý vòng đời dữ liệu được áp dụng nhất quán trong toàn doanh nghiệp và các đối tác trong hệ sinh thái của doanh nghiệp.</t>
  </si>
  <si>
    <t>6.2.5</t>
  </si>
  <si>
    <t>Thu thập dữ liệu</t>
  </si>
  <si>
    <t>Từ 2020 VietinBank thu thập và xác thực sinh trắc học cho gần 5 triệu khách hàng cá nhân (số liệu bài 12/2023). Điều khoản dữ liệu cá nhân mô tả thu thập từ nhiều nguồn (khách hàng, đối tác, CIC/PCB, NHNN, camera, cookie). Chưa có thông tin về mức tối ưu hóa.</t>
  </si>
  <si>
    <t>https://nhadautu.vn/vietinbank-hien-thuc-hoa-muc-tieu-tro-thanh-ngan-hang-so-hang-dau-d82659.html; https://www.vietinbank.vn/ls/Warning-rcm/T&amp;C-DLCN.pdf</t>
  </si>
  <si>
    <t>Dữ liệu được thu thập được thực hiện theo sự vụ.</t>
  </si>
  <si>
    <t>Việc thu thập dữ liệu được thực hiện nhất quán ở một số bộ phận, đơn vị chức năng.</t>
  </si>
  <si>
    <t>Thu thập dữ liệu được tối ưu hóa trong các bộ phận, đơn vị chức năng.</t>
  </si>
  <si>
    <t>Thu thập dữ liệu được tối ưu hóa trên toàn doanh nghiệp.</t>
  </si>
  <si>
    <t>Việc thu thập dữ liệu được tối ưu hóa trên toàn doanh nghiệp và các đối tác trong hệ sinh thái.</t>
  </si>
  <si>
    <t>6.2.6</t>
  </si>
  <si>
    <t>Đảm bảo tính toàn vẹn dữ liệu</t>
  </si>
  <si>
    <t>Đảm bảo tính toàn vẹn dữ liệu được thực hiện theo sự vụ.</t>
  </si>
  <si>
    <t>Tính toàn vẹn dữ liệu được đảm bảo ở một số bộ phận, đơn vị chức năng.</t>
  </si>
  <si>
    <t>Tính toàn vẹn dữ liệu được đảm bảo trên hầu hết các bộ phận, đơn vị chức năng.</t>
  </si>
  <si>
    <t>Tính toàn vẹn dữ liệu được đảm bảo trên toàn doanh nghiệp.</t>
  </si>
  <si>
    <t>Tính toàn vẹn của dữ liệu được đảm bảo trong toàn doanh nghiệp và các đối tác trong hệ sinh thái.</t>
  </si>
  <si>
    <t>6.2.7</t>
  </si>
  <si>
    <t>Trực quan hóa dữ liệu</t>
  </si>
  <si>
    <t>Dữ liệu được trình bày theo sự vụ.</t>
  </si>
  <si>
    <t>Dữ liệu được trình bày ở một số bộ phận, đơn vị chức năng.</t>
  </si>
  <si>
    <t>Dữ liệu được trình bày theo cách tối ưu trong các bộ phận, đơn vị chức năng.</t>
  </si>
  <si>
    <t>Dữ liệu được trình bày theo cách tối ưu trong toàn doanh nghiệp.</t>
  </si>
  <si>
    <t>Dữ liệu được trình bày theo cách tối ưu trong doanh nghiệp và các đối tác trong hệ sinh thái.</t>
  </si>
  <si>
    <t>Hiện thực hóa giá trị từ dữ liệu</t>
  </si>
  <si>
    <t>6.3.1</t>
  </si>
  <si>
    <t>Ra quyết định dựa trên dữ liệu</t>
  </si>
  <si>
    <t>Đào tạo ra quyết định dựa trên dữ liệu cho cán bộ; AI hỗ trợ tín dụng, rủi ro, bán hàng. Chưa có số liệu mức quyết định dựa trên dữ liệu.</t>
  </si>
  <si>
    <t>https://investor.vietinbank.vn/documents/20126/a90d3d14-49e7-6f23-0e6c-7625baf56018; https://thitruongtaichinhtiente.vn/nganh-ngan-hang-voi-co-hoi-moi-tu-ky-nguyen-ai-85397.html</t>
  </si>
  <si>
    <t>Các quyết định của doanh nghiệp hiếm khi dựa trên dữ liệu.</t>
  </si>
  <si>
    <t>Một số bộ phận, đơn vị chức năng của doanh nghiệp đưa ra quyết định dựa trên dữ liệu.</t>
  </si>
  <si>
    <t>Hầu hết các quyết định của doanh nghiệp được đưa ra dựa trên dữ liệu cấp bộ phận, đơn vị chức năng.</t>
  </si>
  <si>
    <t>Các quyết định của doanh nghiệp được đưa ra dựa trên dữ liệu từ khắp doanh nghiệp.</t>
  </si>
  <si>
    <t>Các quyết định của doanh nghiệp được đưa ra dựa trên dữ liệu từ khắp doanh nghiệp và các đối tác trong hệ sinh thái của doanh nghiệp.</t>
  </si>
  <si>
    <t>6.3.2</t>
  </si>
  <si>
    <t>Năng lực khoa học dữ liệu</t>
  </si>
  <si>
    <t>Khối Dữ liệu &amp; AI; &gt;50 ứng dụng AI/ML đưa vào vận hành ở nhiều mảng nghiệp vụ.</t>
  </si>
  <si>
    <t>Khả năng khoa học dữ liệu chưa tồn tại.</t>
  </si>
  <si>
    <t>Khả năng khoa học dữ liệu tồn tại với một số bộ phận, đơn vị chức năng.</t>
  </si>
  <si>
    <t>Khả năng khoa học dữ liệu tồn tại trên các bộ phận, đơn vị chức năng.</t>
  </si>
  <si>
    <t>Khả năng Khoa học dữ liệu hiệu quả được tối ưu hóa trong toàn doanh nghiệp.</t>
  </si>
  <si>
    <t>Các năng lực Khoa học dữ liệu hiệu quả được tối ưu hóa trong toàn doanh nghiệp và các đối tác trong hệ sinh thái của doanh nghiệp.</t>
  </si>
  <si>
    <t>6.3.3</t>
  </si>
  <si>
    <t>Khai thác giá trị kinh tế từ dữ liệu</t>
  </si>
  <si>
    <t>AI/ML giúp tăng hiệu quả bán chéo, giữ chân khách hàng, kiểm soát rủi ro cá nhân và doanh nghiệp; mục tiêu doanh thu số 30–35% TOI năm 2028.</t>
  </si>
  <si>
    <t>Doanh nghiệp chưa tạo ra giá trị đo lường được từ dữ liệu.</t>
  </si>
  <si>
    <t>Doanh nghiệp tạo ra một số giá trị đo lường được từ dữ liệu.</t>
  </si>
  <si>
    <t>Doanh nghiệp tạo ra giá trị đáng kể có thể đo lường từ dữ liệu trong các bộ phận, đơn vị chức năng cụ thể.</t>
  </si>
  <si>
    <t>Doanh nghiệp tạo ra giá trị đáng kể có thể đo lường từ dữ liệu và được tối ưu hóa trong toàn doanh nghiệp.</t>
  </si>
  <si>
    <t>Doanh nghiệp tạo ra giá trị đáng kể có thể đo lường được từ dữ liệu và được tối ưu hóa trên toàn doanh nghiệp và các đối tác trong hệ sinh thái.</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</si>
</sst>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1F3864"/>
      <name val="Arial"/>
    </font>
    <font>
      <b/>
      <sz val="11.0"/>
      <color theme="1"/>
      <name val="Arial"/>
    </font>
    <font>
      <b/>
      <sz val="10.0"/>
      <color rgb="FFFFFFFF"/>
      <name val="Arial"/>
    </font>
    <font>
      <sz val="10.0"/>
      <color theme="1"/>
      <name val="Arial"/>
    </font>
    <font>
      <b/>
      <sz val="10.0"/>
      <color theme="1"/>
      <name val="Arial"/>
    </font>
    <font>
      <sz val="11.0"/>
      <color rgb="FF0000FF"/>
      <name val="Arial"/>
    </font>
    <font>
      <i/>
      <sz val="9.0"/>
      <color rgb="FF7F7F7F"/>
      <name val="Arial"/>
    </font>
    <font>
      <b/>
      <sz val="12.0"/>
      <color rgb="FF1F3864"/>
      <name val="Arial"/>
    </font>
    <font>
      <u/>
      <sz val="10.0"/>
      <color rgb="FF0000FF"/>
      <name val="Arial"/>
    </font>
    <font>
      <sz val="9.0"/>
      <color theme="1"/>
      <name val="Arial"/>
    </font>
    <font>
      <b/>
      <sz val="11.0"/>
      <color rgb="FFFFFFFF"/>
      <name val="Arial"/>
    </font>
    <font>
      <sz val="10.0"/>
      <color rgb="FF7F7F7F"/>
      <name val="Arial"/>
    </font>
    <font>
      <u/>
      <sz val="10.0"/>
      <color rgb="FF0000FF"/>
      <name val="Arial"/>
    </font>
  </fonts>
  <fills count="12">
    <fill>
      <patternFill patternType="none"/>
    </fill>
    <fill>
      <patternFill patternType="lightGray"/>
    </fill>
    <fill>
      <patternFill patternType="solid">
        <fgColor rgb="FF1F3864"/>
        <bgColor rgb="FF1F3864"/>
      </patternFill>
    </fill>
    <fill>
      <patternFill patternType="solid">
        <fgColor rgb="FFBF8F00"/>
        <bgColor rgb="FFBF8F00"/>
      </patternFill>
    </fill>
    <fill>
      <patternFill patternType="solid">
        <fgColor rgb="FF595959"/>
        <bgColor rgb="FF595959"/>
      </patternFill>
    </fill>
    <fill>
      <patternFill patternType="solid">
        <fgColor rgb="FFDDEBF7"/>
        <bgColor rgb="FFDDEBF7"/>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E4DFEC"/>
        <bgColor rgb="FFE4DFE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1" fillId="5" fontId="4" numFmtId="0" xfId="0" applyAlignment="1" applyBorder="1" applyFill="1" applyFont="1">
      <alignment shrinkToFit="0" vertical="top" wrapText="1"/>
    </xf>
    <xf borderId="1" fillId="5" fontId="5" numFmtId="0" xfId="0" applyAlignment="1" applyBorder="1" applyFill="1" applyFont="1">
      <alignment horizontal="center" shrinkToFit="0" vertical="top" wrapText="1"/>
    </xf>
    <xf borderId="1" fillId="6" fontId="4" numFmtId="0" xfId="0" applyAlignment="1" applyBorder="1" applyFill="1" applyFont="1">
      <alignment horizontal="center" readingOrder="0" shrinkToFit="0" vertical="top" wrapText="1"/>
    </xf>
    <xf borderId="1" fillId="6" fontId="4" numFmtId="0" xfId="0" applyAlignment="1" applyBorder="1" applyFill="1" applyFont="1">
      <alignment readingOrder="0" shrinkToFit="0" vertical="top" wrapText="1"/>
    </xf>
    <xf borderId="1" fillId="6" fontId="6" numFmtId="0" xfId="0" applyAlignment="1" applyBorder="1" applyFill="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1" fillId="6" fontId="9" numFmtId="0" xfId="0" applyAlignment="1" applyBorder="1" applyFill="1" applyFont="1">
      <alignment readingOrder="0" shrinkToFit="0" vertical="top" wrapText="1"/>
    </xf>
    <xf borderId="0" fillId="0" fontId="4" numFmtId="0" xfId="0" applyAlignment="1" applyFont="1">
      <alignment shrinkToFit="0" vertical="top" wrapText="1"/>
    </xf>
    <xf borderId="1" fillId="6" fontId="4" numFmtId="0" xfId="0" applyAlignment="1" applyBorder="1" applyFill="1" applyFont="1">
      <alignment horizontal="center" shrinkToFit="0" vertical="top" wrapText="1"/>
    </xf>
    <xf borderId="1" fillId="6" fontId="4" numFmtId="0" xfId="0" applyAlignment="1" applyBorder="1" applyFill="1" applyFont="1">
      <alignment shrinkToFit="0" vertical="top" wrapText="1"/>
    </xf>
    <xf borderId="1" fillId="7" fontId="10" numFmtId="0" xfId="0" applyAlignment="1" applyBorder="1" applyFill="1" applyFont="1">
      <alignment shrinkToFit="0" vertical="top" wrapText="1"/>
    </xf>
    <xf borderId="1" fillId="2" fontId="11" numFmtId="0" xfId="0" applyAlignment="1" applyBorder="1" applyFill="1" applyFont="1">
      <alignment shrinkToFit="0" vertical="bottom" wrapText="0"/>
    </xf>
    <xf borderId="1" fillId="0" fontId="12" numFmtId="0" xfId="0" applyAlignment="1" applyBorder="1" applyFont="1">
      <alignment shrinkToFit="0" vertical="top" wrapText="1"/>
    </xf>
    <xf borderId="1" fillId="2" fontId="11" numFmtId="0" xfId="0" applyAlignment="1" applyBorder="1" applyFill="1" applyFont="1">
      <alignment horizontal="center" shrinkToFit="0" vertical="bottom" wrapText="1"/>
    </xf>
    <xf borderId="1" fillId="0" fontId="4" numFmtId="0" xfId="0" applyAlignment="1" applyBorder="1" applyFont="1">
      <alignment shrinkToFit="0" vertical="bottom" wrapText="0"/>
    </xf>
    <xf borderId="1" fillId="6" fontId="13" numFmtId="0" xfId="0" applyAlignment="1" applyBorder="1" applyFill="1" applyFont="1">
      <alignment readingOrder="0" shrinkToFit="0" vertical="top" wrapText="1"/>
    </xf>
    <xf borderId="1" fillId="0" fontId="4" numFmtId="0" xfId="0" applyAlignment="1" applyBorder="1" applyFont="1">
      <alignment horizontal="center" shrinkToFit="0" vertical="bottom" wrapText="0"/>
    </xf>
    <xf quotePrefix="1" borderId="1" fillId="6" fontId="4" numFmtId="0" xfId="0" applyAlignment="1" applyBorder="1" applyFill="1" applyFont="1">
      <alignment readingOrder="0" shrinkToFit="0" vertical="top" wrapText="1"/>
    </xf>
    <xf borderId="1" fillId="7" fontId="5" numFmtId="0" xfId="0" applyAlignment="1" applyBorder="1" applyFill="1" applyFont="1">
      <alignment shrinkToFit="0" vertical="bottom" wrapText="0"/>
    </xf>
    <xf borderId="1" fillId="7" fontId="5" numFmtId="0" xfId="0" applyAlignment="1" applyBorder="1" applyFill="1" applyFont="1">
      <alignment horizontal="center" shrinkToFit="0" vertical="bottom" wrapText="0"/>
    </xf>
    <xf borderId="0" fillId="0" fontId="4" numFmtId="0" xfId="0" applyAlignment="1" applyFont="1">
      <alignment shrinkToFit="0" vertical="bottom" wrapText="0"/>
    </xf>
    <xf borderId="1" fillId="0" fontId="2" numFmtId="0" xfId="0" applyAlignment="1" applyBorder="1" applyFont="1">
      <alignment horizontal="center" shrinkToFit="0" vertical="bottom" wrapText="0"/>
    </xf>
    <xf borderId="1" fillId="8" fontId="4" numFmtId="0" xfId="0" applyAlignment="1" applyBorder="1" applyFill="1" applyFont="1">
      <alignment shrinkToFit="0" vertical="top" wrapText="1"/>
    </xf>
    <xf borderId="1" fillId="8" fontId="5" numFmtId="0" xfId="0" applyAlignment="1" applyBorder="1" applyFill="1" applyFont="1">
      <alignment horizontal="center" shrinkToFit="0" vertical="top" wrapText="1"/>
    </xf>
    <xf borderId="1" fillId="9" fontId="4" numFmtId="0" xfId="0" applyAlignment="1" applyBorder="1" applyFill="1" applyFont="1">
      <alignment shrinkToFit="0" vertical="top" wrapText="1"/>
    </xf>
    <xf borderId="1" fillId="9" fontId="5" numFmtId="0" xfId="0" applyAlignment="1" applyBorder="1" applyFill="1" applyFont="1">
      <alignment horizontal="center" shrinkToFit="0" vertical="top" wrapText="1"/>
    </xf>
    <xf borderId="1" fillId="10" fontId="4" numFmtId="0" xfId="0" applyAlignment="1" applyBorder="1" applyFill="1" applyFont="1">
      <alignment shrinkToFit="0" vertical="top" wrapText="1"/>
    </xf>
    <xf borderId="1" fillId="10" fontId="5" numFmtId="0" xfId="0" applyAlignment="1" applyBorder="1" applyFill="1" applyFont="1">
      <alignment horizontal="center" shrinkToFit="0" vertical="top" wrapText="1"/>
    </xf>
    <xf borderId="1" fillId="6" fontId="5" numFmtId="0" xfId="0" applyAlignment="1" applyBorder="1" applyFill="1" applyFont="1">
      <alignment horizontal="center" shrinkToFit="0" vertical="top" wrapText="1"/>
    </xf>
    <xf borderId="1" fillId="11" fontId="4" numFmtId="0" xfId="0" applyAlignment="1" applyBorder="1" applyFill="1" applyFont="1">
      <alignment shrinkToFit="0" vertical="top" wrapText="1"/>
    </xf>
    <xf borderId="1" fillId="11" fontId="5" numFmtId="0" xfId="0" applyAlignment="1" applyBorder="1" applyFill="1" applyFont="1">
      <alignment horizontal="center" shrinkToFit="0" vertical="top" wrapText="1"/>
    </xf>
  </cellXfs>
  <cellStyles count="1">
    <cellStyle xfId="0" name="Normal" builtinId="0"/>
  </cellStyles>
  <dxfs count="2">
    <dxf>
      <font/>
      <fill>
        <patternFill patternType="solid">
          <fgColor rgb="FFF8CBAD"/>
          <bgColor rgb="FFF8CBAD"/>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nvestor.vietinbank.vn/documents/20126/c447631b-5e54-f5ed-5110-c9a163e0b612" TargetMode="External"/><Relationship Id="rId42" Type="http://schemas.openxmlformats.org/officeDocument/2006/relationships/hyperlink" Target="https://investor.vietinbank.vn/documents/20126/c447631b-5e54-f5ed-5110-c9a163e0b612" TargetMode="External"/><Relationship Id="rId41" Type="http://schemas.openxmlformats.org/officeDocument/2006/relationships/hyperlink" Target="https://investor.vietinbank.vn/documents/20126/c447631b-5e54-f5ed-5110-c9a163e0b612" TargetMode="External"/><Relationship Id="rId44" Type="http://schemas.openxmlformats.org/officeDocument/2006/relationships/hyperlink" Target="https://investor.vietinbank.vn/documents/20126/c447631b-5e54-f5ed-5110-c9a163e0b612" TargetMode="External"/><Relationship Id="rId43" Type="http://schemas.openxmlformats.org/officeDocument/2006/relationships/hyperlink" Target="https://investor.vietinbank.vn/documents/20126/c447631b-5e54-f5ed-5110-c9a163e0b612" TargetMode="External"/><Relationship Id="rId46" Type="http://schemas.openxmlformats.org/officeDocument/2006/relationships/hyperlink" Target="https://investor.vietinbank.vn/documents/20126/c447631b-5e54-f5ed-5110-c9a163e0b612" TargetMode="External"/><Relationship Id="rId45" Type="http://schemas.openxmlformats.org/officeDocument/2006/relationships/hyperlink" Target="https://investor.vietinbank.vn/documents/20126/c447631b-5e54-f5ed-5110-c9a163e0b612" TargetMode="External"/><Relationship Id="rId1" Type="http://schemas.openxmlformats.org/officeDocument/2006/relationships/hyperlink" Target="https://www.vietinbank.vn/chatbot-ai-tro-ly-thong-minh-nang-tam-trai-nghiem-khach-hang-tai-vietinbank-20260423090855-00-html" TargetMode="External"/><Relationship Id="rId2" Type="http://schemas.openxmlformats.org/officeDocument/2006/relationships/hyperlink" Target="https://diendandoanhnghiep.vn/print/10159601.html" TargetMode="External"/><Relationship Id="rId3" Type="http://schemas.openxmlformats.org/officeDocument/2006/relationships/hyperlink" Target="https://investor.vietinbank.vn/documents/20126/c447631b-5e54-f5ed-5110-c9a163e0b612" TargetMode="External"/><Relationship Id="rId4" Type="http://schemas.openxmlformats.org/officeDocument/2006/relationships/hyperlink" Target="https://investor.vietinbank.vn/documents/20126/c447631b-5e54-f5ed-5110-c9a163e0b612" TargetMode="External"/><Relationship Id="rId9" Type="http://schemas.openxmlformats.org/officeDocument/2006/relationships/hyperlink" Target="https://investor.vietinbank.vn/documents/20126/c447631b-5e54-f5ed-5110-c9a163e0b612" TargetMode="External"/><Relationship Id="rId48" Type="http://schemas.openxmlformats.org/officeDocument/2006/relationships/hyperlink" Target="https://investor.vietinbank.vn/documents/20126/c447631b-5e54-f5ed-5110-c9a163e0b612" TargetMode="External"/><Relationship Id="rId47" Type="http://schemas.openxmlformats.org/officeDocument/2006/relationships/hyperlink" Target="https://investor.vietinbank.vn/documents/20126/c447631b-5e54-f5ed-5110-c9a163e0b612" TargetMode="External"/><Relationship Id="rId49" Type="http://schemas.openxmlformats.org/officeDocument/2006/relationships/hyperlink" Target="https://investor.vietinbank.vn/documents/20126/c447631b-5e54-f5ed-5110-c9a163e0b612" TargetMode="External"/><Relationship Id="rId5" Type="http://schemas.openxmlformats.org/officeDocument/2006/relationships/hyperlink" Target="https://investor.vietinbank.vn/documents/20126/c447631b-5e54-f5ed-5110-c9a163e0b612" TargetMode="External"/><Relationship Id="rId6" Type="http://schemas.openxmlformats.org/officeDocument/2006/relationships/hyperlink" Target="https://investor.vietinbank.vn/documents/20126/c447631b-5e54-f5ed-5110-c9a163e0b612" TargetMode="External"/><Relationship Id="rId7" Type="http://schemas.openxmlformats.org/officeDocument/2006/relationships/hyperlink" Target="https://investor.vietinbank.vn/documents/20126/c447631b-5e54-f5ed-5110-c9a163e0b612" TargetMode="External"/><Relationship Id="rId8" Type="http://schemas.openxmlformats.org/officeDocument/2006/relationships/hyperlink" Target="https://investor.vietinbank.vn/documents/20126/c447631b-5e54-f5ed-5110-c9a163e0b612" TargetMode="External"/><Relationship Id="rId73" Type="http://schemas.openxmlformats.org/officeDocument/2006/relationships/hyperlink" Target="https://investor.vietinbank.vn/documents/20126/c447631b-5e54-f5ed-5110-c9a163e0b612" TargetMode="External"/><Relationship Id="rId72" Type="http://schemas.openxmlformats.org/officeDocument/2006/relationships/hyperlink" Target="https://nhadautu.vn/vietinbank-hien-thuc-hoa-muc-tieu-tro-thanh-ngan-hang-so-hang-dau-d82659.html" TargetMode="External"/><Relationship Id="rId31" Type="http://schemas.openxmlformats.org/officeDocument/2006/relationships/hyperlink" Target="https://investor.vietinbank.vn/documents/20126/c447631b-5e54-f5ed-5110-c9a163e0b612" TargetMode="External"/><Relationship Id="rId75" Type="http://schemas.openxmlformats.org/officeDocument/2006/relationships/drawing" Target="../drawings/drawing2.xml"/><Relationship Id="rId30" Type="http://schemas.openxmlformats.org/officeDocument/2006/relationships/hyperlink" Target="https://investor.vietinbank.vn/documents/20126/c447631b-5e54-f5ed-5110-c9a163e0b612" TargetMode="External"/><Relationship Id="rId74" Type="http://schemas.openxmlformats.org/officeDocument/2006/relationships/hyperlink" Target="https://investor.vietinbank.vn/documents/20126/c447631b-5e54-f5ed-5110-c9a163e0b612" TargetMode="External"/><Relationship Id="rId33" Type="http://schemas.openxmlformats.org/officeDocument/2006/relationships/hyperlink" Target="https://investor.vietinbank.vn/documents/20126/c447631b-5e54-f5ed-5110-c9a163e0b612" TargetMode="External"/><Relationship Id="rId32" Type="http://schemas.openxmlformats.org/officeDocument/2006/relationships/hyperlink" Target="https://investor.vietinbank.vn/documents/20126/c447631b-5e54-f5ed-5110-c9a163e0b612" TargetMode="External"/><Relationship Id="rId35" Type="http://schemas.openxmlformats.org/officeDocument/2006/relationships/hyperlink" Target="https://investor.vietinbank.vn/documents/20126/c447631b-5e54-f5ed-5110-c9a163e0b612" TargetMode="External"/><Relationship Id="rId34" Type="http://schemas.openxmlformats.org/officeDocument/2006/relationships/hyperlink" Target="https://investor.vietinbank.vn/documents/20126/c447631b-5e54-f5ed-5110-c9a163e0b612" TargetMode="External"/><Relationship Id="rId71" Type="http://schemas.openxmlformats.org/officeDocument/2006/relationships/hyperlink" Target="https://www.vietinbank.vn/ls/Warning-rcm/T&amp;C-DLCN.pdf" TargetMode="External"/><Relationship Id="rId70" Type="http://schemas.openxmlformats.org/officeDocument/2006/relationships/hyperlink" Target="https://investor.vietinbank.vn/documents/20126/c447631b-5e54-f5ed-5110-c9a163e0b612" TargetMode="External"/><Relationship Id="rId37" Type="http://schemas.openxmlformats.org/officeDocument/2006/relationships/hyperlink" Target="https://investor.vietinbank.vn/documents/20126/c447631b-5e54-f5ed-5110-c9a163e0b612" TargetMode="External"/><Relationship Id="rId36" Type="http://schemas.openxmlformats.org/officeDocument/2006/relationships/hyperlink" Target="https://investor.vietinbank.vn/documents/20126/c447631b-5e54-f5ed-5110-c9a163e0b612" TargetMode="External"/><Relationship Id="rId39" Type="http://schemas.openxmlformats.org/officeDocument/2006/relationships/hyperlink" Target="https://investor.vietinbank.vn/documents/20126/c447631b-5e54-f5ed-5110-c9a163e0b612" TargetMode="External"/><Relationship Id="rId38" Type="http://schemas.openxmlformats.org/officeDocument/2006/relationships/hyperlink" Target="https://investor.vietinbank.vn/documents/20126/c447631b-5e54-f5ed-5110-c9a163e0b612" TargetMode="External"/><Relationship Id="rId62" Type="http://schemas.openxmlformats.org/officeDocument/2006/relationships/hyperlink" Target="https://investor.vietinbank.vn/documents/20126/c447631b-5e54-f5ed-5110-c9a163e0b612" TargetMode="External"/><Relationship Id="rId61" Type="http://schemas.openxmlformats.org/officeDocument/2006/relationships/hyperlink" Target="https://investor.vietinbank.vn/documents/20126/c447631b-5e54-f5ed-5110-c9a163e0b612" TargetMode="External"/><Relationship Id="rId20" Type="http://schemas.openxmlformats.org/officeDocument/2006/relationships/hyperlink" Target="https://investor.vietinbank.vn/documents/20126/c447631b-5e54-f5ed-5110-c9a163e0b612" TargetMode="External"/><Relationship Id="rId64" Type="http://schemas.openxmlformats.org/officeDocument/2006/relationships/hyperlink" Target="https://investor.vietinbank.vn/documents/20126/c447631b-5e54-f5ed-5110-c9a163e0b612" TargetMode="External"/><Relationship Id="rId63" Type="http://schemas.openxmlformats.org/officeDocument/2006/relationships/hyperlink" Target="https://investor.vietinbank.vn/documents/20126/c447631b-5e54-f5ed-5110-c9a163e0b612" TargetMode="External"/><Relationship Id="rId22" Type="http://schemas.openxmlformats.org/officeDocument/2006/relationships/hyperlink" Target="https://investor.vietinbank.vn/documents/20126/c447631b-5e54-f5ed-5110-c9a163e0b612" TargetMode="External"/><Relationship Id="rId66" Type="http://schemas.openxmlformats.org/officeDocument/2006/relationships/hyperlink" Target="https://investor.vietinbank.vn/documents/20126/c447631b-5e54-f5ed-5110-c9a163e0b612" TargetMode="External"/><Relationship Id="rId21" Type="http://schemas.openxmlformats.org/officeDocument/2006/relationships/hyperlink" Target="https://investor.vietinbank.vn/documents/20126/c447631b-5e54-f5ed-5110-c9a163e0b612" TargetMode="External"/><Relationship Id="rId65" Type="http://schemas.openxmlformats.org/officeDocument/2006/relationships/hyperlink" Target="https://investor.vietinbank.vn/documents/20126/c447631b-5e54-f5ed-5110-c9a163e0b612" TargetMode="External"/><Relationship Id="rId24" Type="http://schemas.openxmlformats.org/officeDocument/2006/relationships/hyperlink" Target="https://investor.vietinbank.vn/documents/20126/c447631b-5e54-f5ed-5110-c9a163e0b612" TargetMode="External"/><Relationship Id="rId68" Type="http://schemas.openxmlformats.org/officeDocument/2006/relationships/hyperlink" Target="https://investor.vietinbank.vn/documents/20126/c447631b-5e54-f5ed-5110-c9a163e0b612" TargetMode="External"/><Relationship Id="rId23" Type="http://schemas.openxmlformats.org/officeDocument/2006/relationships/hyperlink" Target="https://investor.vietinbank.vn/documents/20126/c447631b-5e54-f5ed-5110-c9a163e0b612" TargetMode="External"/><Relationship Id="rId67" Type="http://schemas.openxmlformats.org/officeDocument/2006/relationships/hyperlink" Target="https://investor.vietinbank.vn/documents/20126/c447631b-5e54-f5ed-5110-c9a163e0b612" TargetMode="External"/><Relationship Id="rId60" Type="http://schemas.openxmlformats.org/officeDocument/2006/relationships/hyperlink" Target="https://investor.vietinbank.vn/documents/20126/c447631b-5e54-f5ed-5110-c9a163e0b612" TargetMode="External"/><Relationship Id="rId26" Type="http://schemas.openxmlformats.org/officeDocument/2006/relationships/hyperlink" Target="https://investor.vietinbank.vn/documents/20126/c447631b-5e54-f5ed-5110-c9a163e0b612" TargetMode="External"/><Relationship Id="rId25" Type="http://schemas.openxmlformats.org/officeDocument/2006/relationships/hyperlink" Target="https://investor.vietinbank.vn/documents/20126/c447631b-5e54-f5ed-5110-c9a163e0b612" TargetMode="External"/><Relationship Id="rId69" Type="http://schemas.openxmlformats.org/officeDocument/2006/relationships/hyperlink" Target="https://investor.vietinbank.vn/documents/20126/c447631b-5e54-f5ed-5110-c9a163e0b612" TargetMode="External"/><Relationship Id="rId28" Type="http://schemas.openxmlformats.org/officeDocument/2006/relationships/hyperlink" Target="https://investor.vietinbank.vn/documents/20126/c447631b-5e54-f5ed-5110-c9a163e0b612" TargetMode="External"/><Relationship Id="rId27" Type="http://schemas.openxmlformats.org/officeDocument/2006/relationships/hyperlink" Target="https://investor.vietinbank.vn/documents/20126/c447631b-5e54-f5ed-5110-c9a163e0b612" TargetMode="External"/><Relationship Id="rId29" Type="http://schemas.openxmlformats.org/officeDocument/2006/relationships/hyperlink" Target="https://investor.vietinbank.vn/documents/20126/c447631b-5e54-f5ed-5110-c9a163e0b612" TargetMode="External"/><Relationship Id="rId51" Type="http://schemas.openxmlformats.org/officeDocument/2006/relationships/hyperlink" Target="https://investor.vietinbank.vn/documents/20126/c447631b-5e54-f5ed-5110-c9a163e0b612" TargetMode="External"/><Relationship Id="rId50" Type="http://schemas.openxmlformats.org/officeDocument/2006/relationships/hyperlink" Target="https://investor.vietinbank.vn/documents/20126/c447631b-5e54-f5ed-5110-c9a163e0b612" TargetMode="External"/><Relationship Id="rId53" Type="http://schemas.openxmlformats.org/officeDocument/2006/relationships/hyperlink" Target="https://investor.vietinbank.vn/documents/20126/c447631b-5e54-f5ed-5110-c9a163e0b612" TargetMode="External"/><Relationship Id="rId52" Type="http://schemas.openxmlformats.org/officeDocument/2006/relationships/hyperlink" Target="https://investor.vietinbank.vn/documents/20126/c447631b-5e54-f5ed-5110-c9a163e0b612" TargetMode="External"/><Relationship Id="rId11" Type="http://schemas.openxmlformats.org/officeDocument/2006/relationships/hyperlink" Target="https://investor.vietinbank.vn/documents/20126/c447631b-5e54-f5ed-5110-c9a163e0b612" TargetMode="External"/><Relationship Id="rId55" Type="http://schemas.openxmlformats.org/officeDocument/2006/relationships/hyperlink" Target="https://investor.vietinbank.vn/documents/20126/c447631b-5e54-f5ed-5110-c9a163e0b612" TargetMode="External"/><Relationship Id="rId10" Type="http://schemas.openxmlformats.org/officeDocument/2006/relationships/hyperlink" Target="https://investor.vietinbank.vn/documents/20126/c447631b-5e54-f5ed-5110-c9a163e0b612" TargetMode="External"/><Relationship Id="rId54" Type="http://schemas.openxmlformats.org/officeDocument/2006/relationships/hyperlink" Target="https://investor.vietinbank.vn/documents/20126/c447631b-5e54-f5ed-5110-c9a163e0b612" TargetMode="External"/><Relationship Id="rId13" Type="http://schemas.openxmlformats.org/officeDocument/2006/relationships/hyperlink" Target="https://investor.vietinbank.vn/documents/20126/c447631b-5e54-f5ed-5110-c9a163e0b612" TargetMode="External"/><Relationship Id="rId57" Type="http://schemas.openxmlformats.org/officeDocument/2006/relationships/hyperlink" Target="https://investor.vietinbank.vn/documents/20126/c447631b-5e54-f5ed-5110-c9a163e0b612" TargetMode="External"/><Relationship Id="rId12" Type="http://schemas.openxmlformats.org/officeDocument/2006/relationships/hyperlink" Target="https://investor.vietinbank.vn/documents/20126/c447631b-5e54-f5ed-5110-c9a163e0b612" TargetMode="External"/><Relationship Id="rId56" Type="http://schemas.openxmlformats.org/officeDocument/2006/relationships/hyperlink" Target="https://investor.vietinbank.vn/documents/20126/c447631b-5e54-f5ed-5110-c9a163e0b612" TargetMode="External"/><Relationship Id="rId15" Type="http://schemas.openxmlformats.org/officeDocument/2006/relationships/hyperlink" Target="https://investor.vietinbank.vn/documents/20126/c447631b-5e54-f5ed-5110-c9a163e0b612" TargetMode="External"/><Relationship Id="rId59" Type="http://schemas.openxmlformats.org/officeDocument/2006/relationships/hyperlink" Target="https://investor.vietinbank.vn/documents/20126/c447631b-5e54-f5ed-5110-c9a163e0b612" TargetMode="External"/><Relationship Id="rId14" Type="http://schemas.openxmlformats.org/officeDocument/2006/relationships/hyperlink" Target="https://investor.vietinbank.vn/documents/20126/c447631b-5e54-f5ed-5110-c9a163e0b612" TargetMode="External"/><Relationship Id="rId58" Type="http://schemas.openxmlformats.org/officeDocument/2006/relationships/hyperlink" Target="https://investor.vietinbank.vn/documents/20126/c447631b-5e54-f5ed-5110-c9a163e0b612" TargetMode="External"/><Relationship Id="rId17" Type="http://schemas.openxmlformats.org/officeDocument/2006/relationships/hyperlink" Target="https://www.vietinbank.vn/ls/Warning-rcm/T&amp;C-DLCN.pdf" TargetMode="External"/><Relationship Id="rId16" Type="http://schemas.openxmlformats.org/officeDocument/2006/relationships/hyperlink" Target="https://investor.vietinbank.vn/documents/20126/c447631b-5e54-f5ed-5110-c9a163e0b612" TargetMode="External"/><Relationship Id="rId19" Type="http://schemas.openxmlformats.org/officeDocument/2006/relationships/hyperlink" Target="https://diendandoanhnghiep.vn/print/10159601.html" TargetMode="External"/><Relationship Id="rId18" Type="http://schemas.openxmlformats.org/officeDocument/2006/relationships/hyperlink" Target="https://investor.vietinbank.vn/documents/20126/c447631b-5e54-f5ed-5110-c9a163e0b61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5" width="22.0"/>
    <col customWidth="1" min="6" max="26" width="8.71"/>
  </cols>
  <sheetData>
    <row r="1">
      <c r="A1" s="1" t="s">
        <v>0</v>
      </c>
    </row>
    <row r="3">
      <c r="A3" s="2" t="s">
        <v>2</v>
      </c>
      <c r="B3" s="10" t="s">
        <v>3</v>
      </c>
      <c r="C3" s="11" t="s">
        <v>24</v>
      </c>
    </row>
    <row r="4">
      <c r="A4" s="2" t="s">
        <v>25</v>
      </c>
      <c r="B4" s="10" t="s">
        <v>26</v>
      </c>
    </row>
    <row r="5">
      <c r="A5" s="2" t="s">
        <v>27</v>
      </c>
      <c r="B5" s="10">
        <v>2025.0</v>
      </c>
    </row>
    <row r="6">
      <c r="A6" s="2" t="s">
        <v>28</v>
      </c>
      <c r="B6" s="10" t="s">
        <v>29</v>
      </c>
    </row>
    <row r="8">
      <c r="A8" s="12" t="s">
        <v>30</v>
      </c>
    </row>
    <row r="9" ht="30.0" customHeight="1">
      <c r="A9" s="14" t="s">
        <v>31</v>
      </c>
    </row>
    <row r="10" ht="30.0" customHeight="1">
      <c r="A10" s="14" t="s">
        <v>32</v>
      </c>
    </row>
    <row r="11" ht="30.0" customHeight="1">
      <c r="A11" s="14" t="s">
        <v>33</v>
      </c>
    </row>
    <row r="12" ht="30.0" customHeight="1">
      <c r="A12" s="14" t="s">
        <v>34</v>
      </c>
    </row>
    <row r="13" ht="30.0" customHeight="1">
      <c r="A13" s="14" t="s">
        <v>35</v>
      </c>
    </row>
    <row r="14" ht="30.0" customHeight="1">
      <c r="A14" s="14" t="s">
        <v>36</v>
      </c>
    </row>
    <row r="15" ht="30.0" customHeight="1">
      <c r="A15" s="14" t="s">
        <v>37</v>
      </c>
    </row>
    <row r="16" ht="30.0" customHeight="1">
      <c r="A16" s="14" t="s">
        <v>38</v>
      </c>
    </row>
    <row r="17" ht="30.0" customHeight="1">
      <c r="A17" s="14" t="s">
        <v>39</v>
      </c>
    </row>
    <row r="19">
      <c r="A19" s="12" t="s">
        <v>41</v>
      </c>
    </row>
    <row r="20">
      <c r="A20" s="18" t="s">
        <v>5</v>
      </c>
      <c r="B20" s="18" t="s">
        <v>7</v>
      </c>
      <c r="C20" s="18" t="s">
        <v>8</v>
      </c>
      <c r="D20" s="18" t="s">
        <v>9</v>
      </c>
      <c r="E20" s="18" t="s">
        <v>10</v>
      </c>
      <c r="F20" s="18" t="s">
        <v>11</v>
      </c>
    </row>
    <row r="21" ht="54.75" customHeight="1">
      <c r="A21" s="19" t="s">
        <v>20</v>
      </c>
      <c r="B21" s="19">
        <v>3.0</v>
      </c>
      <c r="C21" s="19" t="s">
        <v>49</v>
      </c>
      <c r="D21" s="19" t="s">
        <v>50</v>
      </c>
      <c r="E21" s="19">
        <v>45.0</v>
      </c>
      <c r="F21" s="19">
        <v>2025.0</v>
      </c>
    </row>
    <row r="22" ht="15.75" customHeight="1">
      <c r="A22" s="19" t="s">
        <v>46</v>
      </c>
      <c r="B22" s="19" t="s">
        <v>51</v>
      </c>
      <c r="C22" s="19" t="s">
        <v>52</v>
      </c>
      <c r="D22" s="19"/>
      <c r="E22" s="19"/>
      <c r="F22" s="19"/>
    </row>
    <row r="23" ht="15.75" customHeight="1"/>
    <row r="24" ht="15.75" customHeight="1"/>
    <row r="25" ht="15.75" customHeight="1">
      <c r="A25" s="12" t="s">
        <v>53</v>
      </c>
    </row>
    <row r="26" ht="15.75" customHeight="1">
      <c r="A26" s="20" t="s">
        <v>1</v>
      </c>
      <c r="B26" s="20" t="s">
        <v>55</v>
      </c>
      <c r="C26" s="20" t="s">
        <v>56</v>
      </c>
      <c r="D26" s="20" t="s">
        <v>51</v>
      </c>
      <c r="E26" s="20" t="s">
        <v>57</v>
      </c>
    </row>
    <row r="27" ht="15.75" customHeight="1">
      <c r="A27" s="21" t="s">
        <v>18</v>
      </c>
      <c r="B27" s="23">
        <f>COUNTIF('Chấm điểm'!$A$2:$A$141,A27)</f>
        <v>25</v>
      </c>
      <c r="C27" s="23">
        <f>COUNTIFS('Chấm điểm'!$A$2:$A$141,A27,'Chấm điểm'!$E$2:$E$141,"&gt;=1",'Chấm điểm'!$E$2:$E$141,"&lt;=5")</f>
        <v>20</v>
      </c>
      <c r="D27" s="23">
        <f>COUNTIFS('Chấm điểm'!$A$2:$A$141,A27,'Chấm điểm'!$E$2:$E$141,"N/A")</f>
        <v>5</v>
      </c>
      <c r="E27" s="23">
        <f t="shared" ref="E27:E32" si="1">B27-C27-D27</f>
        <v>0</v>
      </c>
    </row>
    <row r="28" ht="15.75" customHeight="1">
      <c r="A28" s="21" t="s">
        <v>121</v>
      </c>
      <c r="B28" s="23">
        <f>COUNTIF('Chấm điểm'!$A$2:$A$141,A28)</f>
        <v>24</v>
      </c>
      <c r="C28" s="23">
        <f>COUNTIFS('Chấm điểm'!$A$2:$A$141,A28,'Chấm điểm'!$E$2:$E$141,"&gt;=1",'Chấm điểm'!$E$2:$E$141,"&lt;=5")</f>
        <v>20</v>
      </c>
      <c r="D28" s="23">
        <f>COUNTIFS('Chấm điểm'!$A$2:$A$141,A28,'Chấm điểm'!$E$2:$E$141,"N/A")</f>
        <v>4</v>
      </c>
      <c r="E28" s="23">
        <f t="shared" si="1"/>
        <v>0</v>
      </c>
    </row>
    <row r="29" ht="15.75" customHeight="1">
      <c r="A29" s="21" t="s">
        <v>138</v>
      </c>
      <c r="B29" s="23">
        <f>COUNTIF('Chấm điểm'!$A$2:$A$141,A29)</f>
        <v>29</v>
      </c>
      <c r="C29" s="23">
        <f>COUNTIFS('Chấm điểm'!$A$2:$A$141,A29,'Chấm điểm'!$E$2:$E$141,"&gt;=1",'Chấm điểm'!$E$2:$E$141,"&lt;=5")</f>
        <v>18</v>
      </c>
      <c r="D29" s="23">
        <f>COUNTIFS('Chấm điểm'!$A$2:$A$141,A29,'Chấm điểm'!$E$2:$E$141,"N/A")</f>
        <v>11</v>
      </c>
      <c r="E29" s="23">
        <f t="shared" si="1"/>
        <v>0</v>
      </c>
    </row>
    <row r="30" ht="15.75" customHeight="1">
      <c r="A30" s="21" t="s">
        <v>156</v>
      </c>
      <c r="B30" s="23">
        <f>COUNTIF('Chấm điểm'!$A$2:$A$141,A30)</f>
        <v>22</v>
      </c>
      <c r="C30" s="23">
        <f>COUNTIFS('Chấm điểm'!$A$2:$A$141,A30,'Chấm điểm'!$E$2:$E$141,"&gt;=1",'Chấm điểm'!$E$2:$E$141,"&lt;=5")</f>
        <v>18</v>
      </c>
      <c r="D30" s="23">
        <f>COUNTIFS('Chấm điểm'!$A$2:$A$141,A30,'Chấm điểm'!$E$2:$E$141,"N/A")</f>
        <v>4</v>
      </c>
      <c r="E30" s="23">
        <f t="shared" si="1"/>
        <v>0</v>
      </c>
    </row>
    <row r="31" ht="15.75" customHeight="1">
      <c r="A31" s="21" t="s">
        <v>174</v>
      </c>
      <c r="B31" s="23">
        <f>COUNTIF('Chấm điểm'!$A$2:$A$141,A31)</f>
        <v>22</v>
      </c>
      <c r="C31" s="23">
        <f>COUNTIFS('Chấm điểm'!$A$2:$A$141,A31,'Chấm điểm'!$E$2:$E$141,"&gt;=1",'Chấm điểm'!$E$2:$E$141,"&lt;=5")</f>
        <v>20</v>
      </c>
      <c r="D31" s="23">
        <f>COUNTIFS('Chấm điểm'!$A$2:$A$141,A31,'Chấm điểm'!$E$2:$E$141,"N/A")</f>
        <v>2</v>
      </c>
      <c r="E31" s="23">
        <f t="shared" si="1"/>
        <v>0</v>
      </c>
    </row>
    <row r="32" ht="15.75" customHeight="1">
      <c r="A32" s="21" t="s">
        <v>193</v>
      </c>
      <c r="B32" s="23">
        <f>COUNTIF('Chấm điểm'!$A$2:$A$141,A32)</f>
        <v>18</v>
      </c>
      <c r="C32" s="23">
        <f>COUNTIFS('Chấm điểm'!$A$2:$A$141,A32,'Chấm điểm'!$E$2:$E$141,"&gt;=1",'Chấm điểm'!$E$2:$E$141,"&lt;=5")</f>
        <v>12</v>
      </c>
      <c r="D32" s="23">
        <f>COUNTIFS('Chấm điểm'!$A$2:$A$141,A32,'Chấm điểm'!$E$2:$E$141,"N/A")</f>
        <v>6</v>
      </c>
      <c r="E32" s="23">
        <f t="shared" si="1"/>
        <v>0</v>
      </c>
    </row>
    <row r="33" ht="15.75" customHeight="1">
      <c r="A33" s="25" t="s">
        <v>216</v>
      </c>
      <c r="B33" s="26">
        <f t="shared" ref="B33:E33" si="2">SUM(B27:B32)</f>
        <v>140</v>
      </c>
      <c r="C33" s="26">
        <f t="shared" si="2"/>
        <v>108</v>
      </c>
      <c r="D33" s="26">
        <f t="shared" si="2"/>
        <v>32</v>
      </c>
      <c r="E33" s="26">
        <f t="shared" si="2"/>
        <v>0</v>
      </c>
    </row>
    <row r="34" ht="15.75" customHeight="1"/>
    <row r="35" ht="15.75" customHeight="1">
      <c r="A35" s="27" t="s">
        <v>236</v>
      </c>
      <c r="D35" s="28">
        <f>COUNTA('Chấm điểm'!$E$2:$E$141)-COUNT('Chấm điểm'!$E$2:$E$141)-COUNTIF('Chấm điểm'!$E$2:$E$141,"N/A")+COUNT('Chấm điểm'!$E$2:$E$141)-COUNTIFS('Chấm điểm'!$E$2:$E$141,"&gt;=1",'Chấm điểm'!$E$2:$E$141,"&lt;=5")</f>
        <v>0</v>
      </c>
    </row>
    <row r="36" ht="15.75" customHeight="1">
      <c r="A36" s="27" t="s">
        <v>255</v>
      </c>
      <c r="D36" s="28">
        <f>SUMPRODUCT(ISNUMBER('Chấm điểm'!$E$2:$E$141)*('Chấm điểm'!$F$2:$F$141=""))</f>
        <v>0</v>
      </c>
    </row>
    <row r="37" ht="15.75" customHeight="1">
      <c r="A37" s="27" t="s">
        <v>264</v>
      </c>
      <c r="D37" s="28">
        <f>SUMPRODUCT(ISNUMBER('Chấm điểm'!$E$2:$E$141)*('Chấm điểm'!$G$2:$G$141=""))</f>
        <v>0</v>
      </c>
    </row>
    <row r="38" ht="15.75" customHeight="1">
      <c r="A38" s="11" t="s">
        <v>271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6:F16"/>
    <mergeCell ref="A17:F17"/>
    <mergeCell ref="A35:C35"/>
    <mergeCell ref="A36:C36"/>
    <mergeCell ref="A37:C37"/>
    <mergeCell ref="A9:F9"/>
    <mergeCell ref="A10:F10"/>
    <mergeCell ref="A11:F11"/>
    <mergeCell ref="A12:F12"/>
    <mergeCell ref="A13:F13"/>
    <mergeCell ref="A14:F14"/>
    <mergeCell ref="A15:F15"/>
  </mergeCells>
  <conditionalFormatting sqref="D35:D37">
    <cfRule type="cellIs" dxfId="0" priority="1" operator="greaterThan">
      <formula>0</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8.0"/>
    <col customWidth="1" min="3" max="3" width="8.0"/>
    <col customWidth="1" min="4" max="4" width="30.0"/>
    <col customWidth="1" min="5" max="5" width="9.0"/>
    <col customWidth="1" min="6" max="6" width="55.0"/>
    <col customWidth="1" min="7" max="7" width="38.0"/>
    <col customWidth="1" min="8" max="8" width="9.0"/>
    <col customWidth="1" min="9" max="9" width="8.0"/>
    <col customWidth="1" min="10" max="10" width="25.0"/>
    <col customWidth="1" min="11" max="15" width="38.0"/>
    <col customWidth="1" min="16" max="26" width="8.71"/>
  </cols>
  <sheetData>
    <row r="1" ht="27.75" customHeight="1">
      <c r="A1" s="3" t="s">
        <v>1</v>
      </c>
      <c r="B1" s="3" t="s">
        <v>4</v>
      </c>
      <c r="C1" s="3" t="s">
        <v>5</v>
      </c>
      <c r="D1" s="3" t="s">
        <v>6</v>
      </c>
      <c r="E1" s="4" t="s">
        <v>7</v>
      </c>
      <c r="F1" s="4" t="s">
        <v>8</v>
      </c>
      <c r="G1" s="4" t="s">
        <v>9</v>
      </c>
      <c r="H1" s="4" t="s">
        <v>10</v>
      </c>
      <c r="I1" s="4" t="s">
        <v>11</v>
      </c>
      <c r="J1" s="4" t="s">
        <v>12</v>
      </c>
      <c r="K1" s="5" t="s">
        <v>13</v>
      </c>
      <c r="L1" s="5" t="s">
        <v>14</v>
      </c>
      <c r="M1" s="5" t="s">
        <v>15</v>
      </c>
      <c r="N1" s="5" t="s">
        <v>16</v>
      </c>
      <c r="O1" s="5" t="s">
        <v>17</v>
      </c>
    </row>
    <row r="2" ht="75.0" customHeight="1">
      <c r="A2" s="6" t="s">
        <v>18</v>
      </c>
      <c r="B2" s="6" t="s">
        <v>19</v>
      </c>
      <c r="C2" s="7" t="s">
        <v>20</v>
      </c>
      <c r="D2" s="6" t="s">
        <v>21</v>
      </c>
      <c r="E2" s="8">
        <v>4.0</v>
      </c>
      <c r="F2" s="9" t="s">
        <v>22</v>
      </c>
      <c r="G2" s="13" t="s">
        <v>23</v>
      </c>
      <c r="H2" s="15"/>
      <c r="I2" s="8">
        <v>2026.0</v>
      </c>
      <c r="J2" s="16"/>
      <c r="K2" s="17" t="s">
        <v>40</v>
      </c>
      <c r="L2" s="17" t="s">
        <v>42</v>
      </c>
      <c r="M2" s="17" t="s">
        <v>43</v>
      </c>
      <c r="N2" s="17" t="s">
        <v>44</v>
      </c>
      <c r="O2" s="17" t="s">
        <v>45</v>
      </c>
    </row>
    <row r="3" ht="75.0" customHeight="1">
      <c r="A3" s="6" t="s">
        <v>18</v>
      </c>
      <c r="B3" s="6" t="s">
        <v>19</v>
      </c>
      <c r="C3" s="7" t="s">
        <v>46</v>
      </c>
      <c r="D3" s="6" t="s">
        <v>47</v>
      </c>
      <c r="E3" s="8">
        <v>1.0</v>
      </c>
      <c r="F3" s="9" t="s">
        <v>48</v>
      </c>
      <c r="G3" s="22" t="s">
        <v>54</v>
      </c>
      <c r="H3" s="8" t="s">
        <v>58</v>
      </c>
      <c r="I3" s="8">
        <v>2026.0</v>
      </c>
      <c r="J3" s="16"/>
      <c r="K3" s="17" t="s">
        <v>59</v>
      </c>
      <c r="L3" s="17" t="s">
        <v>60</v>
      </c>
      <c r="M3" s="17" t="s">
        <v>61</v>
      </c>
      <c r="N3" s="17" t="s">
        <v>62</v>
      </c>
      <c r="O3" s="17" t="s">
        <v>63</v>
      </c>
    </row>
    <row r="4" ht="75.0" customHeight="1">
      <c r="A4" s="6" t="s">
        <v>18</v>
      </c>
      <c r="B4" s="6" t="s">
        <v>19</v>
      </c>
      <c r="C4" s="7" t="s">
        <v>64</v>
      </c>
      <c r="D4" s="6" t="s">
        <v>65</v>
      </c>
      <c r="E4" s="8">
        <v>2.0</v>
      </c>
      <c r="F4" s="9" t="s">
        <v>66</v>
      </c>
      <c r="G4" s="22" t="s">
        <v>67</v>
      </c>
      <c r="H4" s="8" t="s">
        <v>68</v>
      </c>
      <c r="I4" s="8">
        <v>2025.0</v>
      </c>
      <c r="J4" s="16"/>
      <c r="K4" s="17" t="s">
        <v>69</v>
      </c>
      <c r="L4" s="17" t="s">
        <v>70</v>
      </c>
      <c r="M4" s="17" t="s">
        <v>71</v>
      </c>
      <c r="N4" s="17" t="s">
        <v>72</v>
      </c>
      <c r="O4" s="17" t="s">
        <v>73</v>
      </c>
    </row>
    <row r="5" ht="75.0" customHeight="1">
      <c r="A5" s="6" t="s">
        <v>18</v>
      </c>
      <c r="B5" s="6" t="s">
        <v>19</v>
      </c>
      <c r="C5" s="7" t="s">
        <v>74</v>
      </c>
      <c r="D5" s="6" t="s">
        <v>75</v>
      </c>
      <c r="E5" s="8">
        <v>3.0</v>
      </c>
      <c r="F5" s="9" t="s">
        <v>76</v>
      </c>
      <c r="G5" s="22" t="s">
        <v>67</v>
      </c>
      <c r="H5" s="8" t="s">
        <v>77</v>
      </c>
      <c r="I5" s="8">
        <v>2025.0</v>
      </c>
      <c r="J5" s="16"/>
      <c r="K5" s="17" t="s">
        <v>78</v>
      </c>
      <c r="L5" s="17" t="s">
        <v>79</v>
      </c>
      <c r="M5" s="17" t="s">
        <v>80</v>
      </c>
      <c r="N5" s="17" t="s">
        <v>81</v>
      </c>
      <c r="O5" s="17" t="s">
        <v>82</v>
      </c>
    </row>
    <row r="6" ht="75.0" customHeight="1">
      <c r="A6" s="6" t="s">
        <v>18</v>
      </c>
      <c r="B6" s="6" t="s">
        <v>19</v>
      </c>
      <c r="C6" s="7" t="s">
        <v>83</v>
      </c>
      <c r="D6" s="6" t="s">
        <v>84</v>
      </c>
      <c r="E6" s="8" t="s">
        <v>51</v>
      </c>
      <c r="F6" s="9" t="s">
        <v>52</v>
      </c>
      <c r="G6" s="16"/>
      <c r="H6" s="15"/>
      <c r="I6" s="15"/>
      <c r="J6" s="16"/>
      <c r="K6" s="17" t="s">
        <v>85</v>
      </c>
      <c r="L6" s="17" t="s">
        <v>86</v>
      </c>
      <c r="M6" s="17" t="s">
        <v>87</v>
      </c>
      <c r="N6" s="17" t="s">
        <v>88</v>
      </c>
      <c r="O6" s="17" t="s">
        <v>89</v>
      </c>
    </row>
    <row r="7" ht="75.0" customHeight="1">
      <c r="A7" s="6" t="s">
        <v>18</v>
      </c>
      <c r="B7" s="6" t="s">
        <v>19</v>
      </c>
      <c r="C7" s="7" t="s">
        <v>90</v>
      </c>
      <c r="D7" s="6" t="s">
        <v>91</v>
      </c>
      <c r="E7" s="8">
        <v>3.0</v>
      </c>
      <c r="F7" s="9" t="s">
        <v>92</v>
      </c>
      <c r="G7" s="22" t="s">
        <v>67</v>
      </c>
      <c r="H7" s="8" t="s">
        <v>93</v>
      </c>
      <c r="I7" s="8">
        <v>2025.0</v>
      </c>
      <c r="J7" s="16"/>
      <c r="K7" s="17" t="s">
        <v>94</v>
      </c>
      <c r="L7" s="17" t="s">
        <v>95</v>
      </c>
      <c r="M7" s="17" t="s">
        <v>96</v>
      </c>
      <c r="N7" s="17" t="s">
        <v>97</v>
      </c>
      <c r="O7" s="17" t="s">
        <v>98</v>
      </c>
    </row>
    <row r="8" ht="75.0" customHeight="1">
      <c r="A8" s="6" t="s">
        <v>18</v>
      </c>
      <c r="B8" s="6" t="s">
        <v>19</v>
      </c>
      <c r="C8" s="7" t="s">
        <v>99</v>
      </c>
      <c r="D8" s="6" t="s">
        <v>100</v>
      </c>
      <c r="E8" s="8">
        <v>2.0</v>
      </c>
      <c r="F8" s="9" t="s">
        <v>101</v>
      </c>
      <c r="G8" s="22" t="s">
        <v>67</v>
      </c>
      <c r="H8" s="8" t="s">
        <v>102</v>
      </c>
      <c r="I8" s="8">
        <v>2025.0</v>
      </c>
      <c r="J8" s="16"/>
      <c r="K8" s="17" t="s">
        <v>103</v>
      </c>
      <c r="L8" s="17" t="s">
        <v>104</v>
      </c>
      <c r="M8" s="17" t="s">
        <v>105</v>
      </c>
      <c r="N8" s="17" t="s">
        <v>106</v>
      </c>
      <c r="O8" s="17" t="s">
        <v>107</v>
      </c>
    </row>
    <row r="9" ht="75.0" customHeight="1">
      <c r="A9" s="6" t="s">
        <v>18</v>
      </c>
      <c r="B9" s="6" t="s">
        <v>19</v>
      </c>
      <c r="C9" s="7" t="s">
        <v>108</v>
      </c>
      <c r="D9" s="6" t="s">
        <v>109</v>
      </c>
      <c r="E9" s="8" t="s">
        <v>51</v>
      </c>
      <c r="F9" s="9" t="s">
        <v>52</v>
      </c>
      <c r="G9" s="16"/>
      <c r="H9" s="15"/>
      <c r="I9" s="15"/>
      <c r="J9" s="16"/>
      <c r="K9" s="17" t="s">
        <v>110</v>
      </c>
      <c r="L9" s="17" t="s">
        <v>111</v>
      </c>
      <c r="M9" s="17" t="s">
        <v>112</v>
      </c>
      <c r="N9" s="17" t="s">
        <v>113</v>
      </c>
      <c r="O9" s="17" t="s">
        <v>114</v>
      </c>
    </row>
    <row r="10" ht="75.0" customHeight="1">
      <c r="A10" s="6" t="s">
        <v>18</v>
      </c>
      <c r="B10" s="6" t="s">
        <v>19</v>
      </c>
      <c r="C10" s="7" t="s">
        <v>115</v>
      </c>
      <c r="D10" s="6" t="s">
        <v>116</v>
      </c>
      <c r="E10" s="8">
        <v>2.0</v>
      </c>
      <c r="F10" s="9" t="s">
        <v>117</v>
      </c>
      <c r="G10" s="22" t="s">
        <v>67</v>
      </c>
      <c r="H10" s="8" t="s">
        <v>118</v>
      </c>
      <c r="I10" s="8">
        <v>2025.0</v>
      </c>
      <c r="J10" s="16"/>
      <c r="K10" s="17" t="s">
        <v>119</v>
      </c>
      <c r="L10" s="17" t="s">
        <v>120</v>
      </c>
      <c r="M10" s="17" t="s">
        <v>122</v>
      </c>
      <c r="N10" s="17" t="s">
        <v>123</v>
      </c>
      <c r="O10" s="17" t="s">
        <v>124</v>
      </c>
    </row>
    <row r="11" ht="75.0" customHeight="1">
      <c r="A11" s="6" t="s">
        <v>18</v>
      </c>
      <c r="B11" s="6" t="s">
        <v>125</v>
      </c>
      <c r="C11" s="7" t="s">
        <v>126</v>
      </c>
      <c r="D11" s="6" t="s">
        <v>127</v>
      </c>
      <c r="E11" s="8">
        <v>4.0</v>
      </c>
      <c r="F11" s="24" t="s">
        <v>128</v>
      </c>
      <c r="G11" s="9" t="s">
        <v>129</v>
      </c>
      <c r="H11" s="8" t="s">
        <v>130</v>
      </c>
      <c r="I11" s="8">
        <v>2025.0</v>
      </c>
      <c r="J11" s="16"/>
      <c r="K11" s="17" t="s">
        <v>131</v>
      </c>
      <c r="L11" s="17" t="s">
        <v>132</v>
      </c>
      <c r="M11" s="17" t="s">
        <v>133</v>
      </c>
      <c r="N11" s="17" t="s">
        <v>134</v>
      </c>
      <c r="O11" s="17" t="s">
        <v>135</v>
      </c>
    </row>
    <row r="12" ht="75.0" customHeight="1">
      <c r="A12" s="6" t="s">
        <v>18</v>
      </c>
      <c r="B12" s="6" t="s">
        <v>125</v>
      </c>
      <c r="C12" s="7" t="s">
        <v>136</v>
      </c>
      <c r="D12" s="6" t="s">
        <v>137</v>
      </c>
      <c r="E12" s="8">
        <v>3.0</v>
      </c>
      <c r="F12" s="9" t="s">
        <v>139</v>
      </c>
      <c r="G12" s="9" t="s">
        <v>129</v>
      </c>
      <c r="H12" s="8" t="s">
        <v>140</v>
      </c>
      <c r="I12" s="8">
        <v>2025.0</v>
      </c>
      <c r="J12" s="16"/>
      <c r="K12" s="17" t="s">
        <v>141</v>
      </c>
      <c r="L12" s="17" t="s">
        <v>142</v>
      </c>
      <c r="M12" s="17" t="s">
        <v>143</v>
      </c>
      <c r="N12" s="17" t="s">
        <v>144</v>
      </c>
      <c r="O12" s="17" t="s">
        <v>145</v>
      </c>
    </row>
    <row r="13" ht="75.0" customHeight="1">
      <c r="A13" s="6" t="s">
        <v>18</v>
      </c>
      <c r="B13" s="6" t="s">
        <v>125</v>
      </c>
      <c r="C13" s="7" t="s">
        <v>146</v>
      </c>
      <c r="D13" s="6" t="s">
        <v>147</v>
      </c>
      <c r="E13" s="8" t="s">
        <v>51</v>
      </c>
      <c r="F13" s="9" t="s">
        <v>52</v>
      </c>
      <c r="G13" s="16"/>
      <c r="H13" s="15"/>
      <c r="I13" s="15"/>
      <c r="J13" s="16"/>
      <c r="K13" s="17" t="s">
        <v>148</v>
      </c>
      <c r="L13" s="17" t="s">
        <v>149</v>
      </c>
      <c r="M13" s="17" t="s">
        <v>150</v>
      </c>
      <c r="N13" s="17" t="s">
        <v>151</v>
      </c>
      <c r="O13" s="17" t="s">
        <v>152</v>
      </c>
    </row>
    <row r="14" ht="75.0" customHeight="1">
      <c r="A14" s="6" t="s">
        <v>18</v>
      </c>
      <c r="B14" s="6" t="s">
        <v>125</v>
      </c>
      <c r="C14" s="7" t="s">
        <v>153</v>
      </c>
      <c r="D14" s="6" t="s">
        <v>154</v>
      </c>
      <c r="E14" s="8">
        <v>3.0</v>
      </c>
      <c r="F14" s="9" t="s">
        <v>155</v>
      </c>
      <c r="G14" s="22" t="s">
        <v>67</v>
      </c>
      <c r="H14" s="8" t="s">
        <v>102</v>
      </c>
      <c r="I14" s="8">
        <v>2025.0</v>
      </c>
      <c r="J14" s="16"/>
      <c r="K14" s="17" t="s">
        <v>157</v>
      </c>
      <c r="L14" s="17" t="s">
        <v>158</v>
      </c>
      <c r="M14" s="17" t="s">
        <v>159</v>
      </c>
      <c r="N14" s="17" t="s">
        <v>160</v>
      </c>
      <c r="O14" s="17" t="s">
        <v>161</v>
      </c>
    </row>
    <row r="15" ht="75.0" customHeight="1">
      <c r="A15" s="6" t="s">
        <v>18</v>
      </c>
      <c r="B15" s="6" t="s">
        <v>125</v>
      </c>
      <c r="C15" s="7" t="s">
        <v>162</v>
      </c>
      <c r="D15" s="6" t="s">
        <v>163</v>
      </c>
      <c r="E15" s="8">
        <v>3.0</v>
      </c>
      <c r="F15" s="9" t="s">
        <v>164</v>
      </c>
      <c r="G15" s="22" t="s">
        <v>67</v>
      </c>
      <c r="H15" s="8" t="s">
        <v>165</v>
      </c>
      <c r="I15" s="8">
        <v>2025.0</v>
      </c>
      <c r="J15" s="16"/>
      <c r="K15" s="17" t="s">
        <v>166</v>
      </c>
      <c r="L15" s="17" t="s">
        <v>167</v>
      </c>
      <c r="M15" s="17" t="s">
        <v>168</v>
      </c>
      <c r="N15" s="17" t="s">
        <v>169</v>
      </c>
      <c r="O15" s="17" t="s">
        <v>170</v>
      </c>
    </row>
    <row r="16" ht="75.0" customHeight="1">
      <c r="A16" s="6" t="s">
        <v>18</v>
      </c>
      <c r="B16" s="6" t="s">
        <v>125</v>
      </c>
      <c r="C16" s="7" t="s">
        <v>171</v>
      </c>
      <c r="D16" s="6" t="s">
        <v>172</v>
      </c>
      <c r="E16" s="8" t="s">
        <v>51</v>
      </c>
      <c r="F16" s="9" t="s">
        <v>52</v>
      </c>
      <c r="G16" s="16"/>
      <c r="H16" s="15"/>
      <c r="I16" s="15"/>
      <c r="J16" s="16"/>
      <c r="K16" s="17" t="s">
        <v>173</v>
      </c>
      <c r="L16" s="17" t="s">
        <v>175</v>
      </c>
      <c r="M16" s="17" t="s">
        <v>176</v>
      </c>
      <c r="N16" s="17" t="s">
        <v>177</v>
      </c>
      <c r="O16" s="17" t="s">
        <v>178</v>
      </c>
    </row>
    <row r="17" ht="75.0" customHeight="1">
      <c r="A17" s="6" t="s">
        <v>18</v>
      </c>
      <c r="B17" s="6" t="s">
        <v>125</v>
      </c>
      <c r="C17" s="7" t="s">
        <v>179</v>
      </c>
      <c r="D17" s="6" t="s">
        <v>180</v>
      </c>
      <c r="E17" s="8">
        <v>2.0</v>
      </c>
      <c r="F17" s="9" t="s">
        <v>181</v>
      </c>
      <c r="G17" s="22" t="s">
        <v>67</v>
      </c>
      <c r="H17" s="8" t="s">
        <v>182</v>
      </c>
      <c r="I17" s="8">
        <v>2025.0</v>
      </c>
      <c r="J17" s="16"/>
      <c r="K17" s="17" t="s">
        <v>183</v>
      </c>
      <c r="L17" s="17" t="s">
        <v>184</v>
      </c>
      <c r="M17" s="17" t="s">
        <v>185</v>
      </c>
      <c r="N17" s="17" t="s">
        <v>186</v>
      </c>
      <c r="O17" s="17" t="s">
        <v>187</v>
      </c>
    </row>
    <row r="18" ht="75.0" customHeight="1">
      <c r="A18" s="6" t="s">
        <v>18</v>
      </c>
      <c r="B18" s="6" t="s">
        <v>125</v>
      </c>
      <c r="C18" s="7" t="s">
        <v>188</v>
      </c>
      <c r="D18" s="6" t="s">
        <v>189</v>
      </c>
      <c r="E18" s="8" t="s">
        <v>51</v>
      </c>
      <c r="F18" s="9" t="s">
        <v>52</v>
      </c>
      <c r="G18" s="16"/>
      <c r="H18" s="15"/>
      <c r="I18" s="15"/>
      <c r="J18" s="16"/>
      <c r="K18" s="17" t="s">
        <v>190</v>
      </c>
      <c r="L18" s="17" t="s">
        <v>191</v>
      </c>
      <c r="M18" s="17" t="s">
        <v>192</v>
      </c>
      <c r="N18" s="17" t="s">
        <v>194</v>
      </c>
      <c r="O18" s="17" t="s">
        <v>195</v>
      </c>
    </row>
    <row r="19" ht="75.0" customHeight="1">
      <c r="A19" s="6" t="s">
        <v>18</v>
      </c>
      <c r="B19" s="6" t="s">
        <v>196</v>
      </c>
      <c r="C19" s="7" t="s">
        <v>197</v>
      </c>
      <c r="D19" s="6" t="s">
        <v>198</v>
      </c>
      <c r="E19" s="8">
        <v>2.0</v>
      </c>
      <c r="F19" s="9" t="s">
        <v>199</v>
      </c>
      <c r="G19" s="22" t="s">
        <v>67</v>
      </c>
      <c r="H19" s="8" t="s">
        <v>118</v>
      </c>
      <c r="I19" s="8">
        <v>2025.0</v>
      </c>
      <c r="J19" s="16"/>
      <c r="K19" s="17" t="s">
        <v>200</v>
      </c>
      <c r="L19" s="17" t="s">
        <v>201</v>
      </c>
      <c r="M19" s="17" t="s">
        <v>202</v>
      </c>
      <c r="N19" s="17" t="s">
        <v>203</v>
      </c>
      <c r="O19" s="17" t="s">
        <v>204</v>
      </c>
    </row>
    <row r="20" ht="75.0" customHeight="1">
      <c r="A20" s="6" t="s">
        <v>18</v>
      </c>
      <c r="B20" s="6" t="s">
        <v>196</v>
      </c>
      <c r="C20" s="7" t="s">
        <v>205</v>
      </c>
      <c r="D20" s="6" t="s">
        <v>206</v>
      </c>
      <c r="E20" s="8">
        <v>2.0</v>
      </c>
      <c r="F20" s="9" t="s">
        <v>207</v>
      </c>
      <c r="G20" s="22" t="s">
        <v>67</v>
      </c>
      <c r="H20" s="8" t="s">
        <v>102</v>
      </c>
      <c r="I20" s="8">
        <v>2025.0</v>
      </c>
      <c r="J20" s="16"/>
      <c r="K20" s="17" t="s">
        <v>208</v>
      </c>
      <c r="L20" s="17" t="s">
        <v>209</v>
      </c>
      <c r="M20" s="17" t="s">
        <v>210</v>
      </c>
      <c r="N20" s="17" t="s">
        <v>211</v>
      </c>
      <c r="O20" s="17" t="s">
        <v>212</v>
      </c>
    </row>
    <row r="21" ht="75.0" customHeight="1">
      <c r="A21" s="6" t="s">
        <v>18</v>
      </c>
      <c r="B21" s="6" t="s">
        <v>196</v>
      </c>
      <c r="C21" s="7" t="s">
        <v>213</v>
      </c>
      <c r="D21" s="6" t="s">
        <v>214</v>
      </c>
      <c r="E21" s="8">
        <v>2.0</v>
      </c>
      <c r="F21" s="9" t="s">
        <v>215</v>
      </c>
      <c r="G21" s="22" t="s">
        <v>67</v>
      </c>
      <c r="H21" s="8" t="s">
        <v>217</v>
      </c>
      <c r="I21" s="8">
        <v>2025.0</v>
      </c>
      <c r="J21" s="16"/>
      <c r="K21" s="17" t="s">
        <v>218</v>
      </c>
      <c r="L21" s="17" t="s">
        <v>219</v>
      </c>
      <c r="M21" s="17" t="s">
        <v>220</v>
      </c>
      <c r="N21" s="17" t="s">
        <v>221</v>
      </c>
      <c r="O21" s="17" t="s">
        <v>222</v>
      </c>
    </row>
    <row r="22" ht="75.0" customHeight="1">
      <c r="A22" s="6" t="s">
        <v>18</v>
      </c>
      <c r="B22" s="6" t="s">
        <v>223</v>
      </c>
      <c r="C22" s="7" t="s">
        <v>224</v>
      </c>
      <c r="D22" s="6" t="s">
        <v>225</v>
      </c>
      <c r="E22" s="8">
        <v>2.0</v>
      </c>
      <c r="F22" s="9" t="s">
        <v>226</v>
      </c>
      <c r="G22" s="22" t="s">
        <v>67</v>
      </c>
      <c r="H22" s="8" t="s">
        <v>227</v>
      </c>
      <c r="I22" s="8">
        <v>2025.0</v>
      </c>
      <c r="J22" s="16"/>
      <c r="K22" s="17" t="s">
        <v>228</v>
      </c>
      <c r="L22" s="17" t="s">
        <v>229</v>
      </c>
      <c r="M22" s="17" t="s">
        <v>230</v>
      </c>
      <c r="N22" s="17" t="s">
        <v>231</v>
      </c>
      <c r="O22" s="17" t="s">
        <v>232</v>
      </c>
    </row>
    <row r="23" ht="75.0" customHeight="1">
      <c r="A23" s="6" t="s">
        <v>18</v>
      </c>
      <c r="B23" s="6" t="s">
        <v>223</v>
      </c>
      <c r="C23" s="7" t="s">
        <v>233</v>
      </c>
      <c r="D23" s="6" t="s">
        <v>234</v>
      </c>
      <c r="E23" s="8">
        <v>3.0</v>
      </c>
      <c r="F23" s="9" t="s">
        <v>235</v>
      </c>
      <c r="G23" s="22" t="s">
        <v>67</v>
      </c>
      <c r="H23" s="8" t="s">
        <v>182</v>
      </c>
      <c r="I23" s="8">
        <v>2025.0</v>
      </c>
      <c r="J23" s="16"/>
      <c r="K23" s="17" t="s">
        <v>237</v>
      </c>
      <c r="L23" s="17" t="s">
        <v>238</v>
      </c>
      <c r="M23" s="17" t="s">
        <v>239</v>
      </c>
      <c r="N23" s="17" t="s">
        <v>240</v>
      </c>
      <c r="O23" s="17" t="s">
        <v>241</v>
      </c>
    </row>
    <row r="24" ht="75.0" customHeight="1">
      <c r="A24" s="6" t="s">
        <v>18</v>
      </c>
      <c r="B24" s="6" t="s">
        <v>223</v>
      </c>
      <c r="C24" s="7" t="s">
        <v>242</v>
      </c>
      <c r="D24" s="6" t="s">
        <v>243</v>
      </c>
      <c r="E24" s="8">
        <v>3.0</v>
      </c>
      <c r="F24" s="9" t="s">
        <v>244</v>
      </c>
      <c r="G24" s="22" t="s">
        <v>67</v>
      </c>
      <c r="H24" s="8" t="s">
        <v>245</v>
      </c>
      <c r="I24" s="8">
        <v>2025.0</v>
      </c>
      <c r="J24" s="16"/>
      <c r="K24" s="17" t="s">
        <v>246</v>
      </c>
      <c r="L24" s="17" t="s">
        <v>247</v>
      </c>
      <c r="M24" s="17" t="s">
        <v>248</v>
      </c>
      <c r="N24" s="17" t="s">
        <v>249</v>
      </c>
      <c r="O24" s="17" t="s">
        <v>250</v>
      </c>
    </row>
    <row r="25" ht="75.0" customHeight="1">
      <c r="A25" s="6" t="s">
        <v>18</v>
      </c>
      <c r="B25" s="6" t="s">
        <v>223</v>
      </c>
      <c r="C25" s="7" t="s">
        <v>251</v>
      </c>
      <c r="D25" s="6" t="s">
        <v>252</v>
      </c>
      <c r="E25" s="8">
        <v>2.0</v>
      </c>
      <c r="F25" s="9" t="s">
        <v>253</v>
      </c>
      <c r="G25" s="13" t="s">
        <v>254</v>
      </c>
      <c r="H25" s="15"/>
      <c r="I25" s="15"/>
      <c r="J25" s="16"/>
      <c r="K25" s="17" t="s">
        <v>256</v>
      </c>
      <c r="L25" s="17" t="s">
        <v>257</v>
      </c>
      <c r="M25" s="17" t="s">
        <v>258</v>
      </c>
      <c r="N25" s="17" t="s">
        <v>259</v>
      </c>
      <c r="O25" s="17" t="s">
        <v>260</v>
      </c>
    </row>
    <row r="26" ht="75.0" customHeight="1">
      <c r="A26" s="6" t="s">
        <v>18</v>
      </c>
      <c r="B26" s="6" t="s">
        <v>223</v>
      </c>
      <c r="C26" s="7" t="s">
        <v>261</v>
      </c>
      <c r="D26" s="6" t="s">
        <v>262</v>
      </c>
      <c r="E26" s="8">
        <v>3.0</v>
      </c>
      <c r="F26" s="9" t="s">
        <v>263</v>
      </c>
      <c r="G26" s="22" t="s">
        <v>67</v>
      </c>
      <c r="H26" s="8" t="s">
        <v>265</v>
      </c>
      <c r="I26" s="8">
        <v>2025.0</v>
      </c>
      <c r="J26" s="16"/>
      <c r="K26" s="17" t="s">
        <v>266</v>
      </c>
      <c r="L26" s="17" t="s">
        <v>267</v>
      </c>
      <c r="M26" s="17" t="s">
        <v>268</v>
      </c>
      <c r="N26" s="17" t="s">
        <v>269</v>
      </c>
      <c r="O26" s="17" t="s">
        <v>270</v>
      </c>
    </row>
    <row r="27" ht="75.0" customHeight="1">
      <c r="A27" s="29" t="s">
        <v>121</v>
      </c>
      <c r="B27" s="29" t="s">
        <v>272</v>
      </c>
      <c r="C27" s="30" t="s">
        <v>273</v>
      </c>
      <c r="D27" s="29" t="s">
        <v>274</v>
      </c>
      <c r="E27" s="8" t="s">
        <v>51</v>
      </c>
      <c r="F27" s="9" t="s">
        <v>52</v>
      </c>
      <c r="G27" s="16"/>
      <c r="H27" s="15"/>
      <c r="I27" s="15"/>
      <c r="J27" s="16"/>
      <c r="K27" s="17" t="s">
        <v>275</v>
      </c>
      <c r="L27" s="17" t="s">
        <v>276</v>
      </c>
      <c r="M27" s="17" t="s">
        <v>277</v>
      </c>
      <c r="N27" s="17" t="s">
        <v>278</v>
      </c>
      <c r="O27" s="17" t="s">
        <v>279</v>
      </c>
    </row>
    <row r="28" ht="75.0" customHeight="1">
      <c r="A28" s="29" t="s">
        <v>121</v>
      </c>
      <c r="B28" s="29" t="s">
        <v>272</v>
      </c>
      <c r="C28" s="30" t="s">
        <v>280</v>
      </c>
      <c r="D28" s="29" t="s">
        <v>281</v>
      </c>
      <c r="E28" s="8" t="s">
        <v>51</v>
      </c>
      <c r="F28" s="9" t="s">
        <v>52</v>
      </c>
      <c r="G28" s="16"/>
      <c r="H28" s="15"/>
      <c r="I28" s="15"/>
      <c r="J28" s="16"/>
      <c r="K28" s="17" t="s">
        <v>282</v>
      </c>
      <c r="L28" s="17" t="s">
        <v>283</v>
      </c>
      <c r="M28" s="17" t="s">
        <v>284</v>
      </c>
      <c r="N28" s="17" t="s">
        <v>285</v>
      </c>
      <c r="O28" s="17" t="s">
        <v>286</v>
      </c>
    </row>
    <row r="29" ht="75.0" customHeight="1">
      <c r="A29" s="29" t="s">
        <v>121</v>
      </c>
      <c r="B29" s="29" t="s">
        <v>272</v>
      </c>
      <c r="C29" s="30" t="s">
        <v>287</v>
      </c>
      <c r="D29" s="29" t="s">
        <v>288</v>
      </c>
      <c r="E29" s="8" t="s">
        <v>51</v>
      </c>
      <c r="F29" s="9" t="s">
        <v>52</v>
      </c>
      <c r="G29" s="16"/>
      <c r="H29" s="15"/>
      <c r="I29" s="15"/>
      <c r="J29" s="16"/>
      <c r="K29" s="17" t="s">
        <v>289</v>
      </c>
      <c r="L29" s="17" t="s">
        <v>290</v>
      </c>
      <c r="M29" s="17" t="s">
        <v>291</v>
      </c>
      <c r="N29" s="17" t="s">
        <v>292</v>
      </c>
      <c r="O29" s="17" t="s">
        <v>293</v>
      </c>
    </row>
    <row r="30" ht="75.0" customHeight="1">
      <c r="A30" s="29" t="s">
        <v>121</v>
      </c>
      <c r="B30" s="29" t="s">
        <v>272</v>
      </c>
      <c r="C30" s="30" t="s">
        <v>294</v>
      </c>
      <c r="D30" s="29" t="s">
        <v>295</v>
      </c>
      <c r="E30" s="8">
        <v>2.0</v>
      </c>
      <c r="F30" s="9" t="s">
        <v>296</v>
      </c>
      <c r="G30" s="13" t="s">
        <v>297</v>
      </c>
      <c r="H30" s="8" t="s">
        <v>58</v>
      </c>
      <c r="I30" s="8">
        <v>2025.0</v>
      </c>
      <c r="J30" s="16"/>
      <c r="K30" s="17" t="s">
        <v>298</v>
      </c>
      <c r="L30" s="17" t="s">
        <v>299</v>
      </c>
      <c r="M30" s="17" t="s">
        <v>300</v>
      </c>
      <c r="N30" s="17" t="s">
        <v>301</v>
      </c>
      <c r="O30" s="17" t="s">
        <v>302</v>
      </c>
    </row>
    <row r="31" ht="75.0" customHeight="1">
      <c r="A31" s="29" t="s">
        <v>121</v>
      </c>
      <c r="B31" s="29" t="s">
        <v>303</v>
      </c>
      <c r="C31" s="30" t="s">
        <v>304</v>
      </c>
      <c r="D31" s="29" t="s">
        <v>305</v>
      </c>
      <c r="E31" s="8">
        <v>4.0</v>
      </c>
      <c r="F31" s="9" t="s">
        <v>306</v>
      </c>
      <c r="G31" s="22" t="s">
        <v>67</v>
      </c>
      <c r="H31" s="8" t="s">
        <v>307</v>
      </c>
      <c r="I31" s="8">
        <v>2025.0</v>
      </c>
      <c r="J31" s="16"/>
      <c r="K31" s="17" t="s">
        <v>308</v>
      </c>
      <c r="L31" s="17" t="s">
        <v>309</v>
      </c>
      <c r="M31" s="17" t="s">
        <v>310</v>
      </c>
      <c r="N31" s="17" t="s">
        <v>311</v>
      </c>
      <c r="O31" s="17" t="s">
        <v>312</v>
      </c>
    </row>
    <row r="32" ht="75.0" customHeight="1">
      <c r="A32" s="29" t="s">
        <v>121</v>
      </c>
      <c r="B32" s="29" t="s">
        <v>303</v>
      </c>
      <c r="C32" s="30" t="s">
        <v>313</v>
      </c>
      <c r="D32" s="29" t="s">
        <v>314</v>
      </c>
      <c r="E32" s="8">
        <v>3.0</v>
      </c>
      <c r="F32" s="9" t="s">
        <v>315</v>
      </c>
      <c r="G32" s="9" t="s">
        <v>129</v>
      </c>
      <c r="H32" s="8" t="s">
        <v>316</v>
      </c>
      <c r="I32" s="8">
        <v>2025.0</v>
      </c>
      <c r="J32" s="16"/>
      <c r="K32" s="17" t="s">
        <v>317</v>
      </c>
      <c r="L32" s="17" t="s">
        <v>318</v>
      </c>
      <c r="M32" s="17" t="s">
        <v>319</v>
      </c>
      <c r="N32" s="17" t="s">
        <v>320</v>
      </c>
      <c r="O32" s="17" t="s">
        <v>321</v>
      </c>
    </row>
    <row r="33" ht="75.0" customHeight="1">
      <c r="A33" s="29" t="s">
        <v>121</v>
      </c>
      <c r="B33" s="29" t="s">
        <v>303</v>
      </c>
      <c r="C33" s="30" t="s">
        <v>322</v>
      </c>
      <c r="D33" s="29" t="s">
        <v>323</v>
      </c>
      <c r="E33" s="8">
        <v>3.0</v>
      </c>
      <c r="F33" s="9" t="s">
        <v>324</v>
      </c>
      <c r="G33" s="22" t="s">
        <v>67</v>
      </c>
      <c r="H33" s="8" t="s">
        <v>325</v>
      </c>
      <c r="I33" s="8">
        <v>2025.0</v>
      </c>
      <c r="J33" s="16"/>
      <c r="K33" s="17" t="s">
        <v>326</v>
      </c>
      <c r="L33" s="17" t="s">
        <v>327</v>
      </c>
      <c r="M33" s="17" t="s">
        <v>328</v>
      </c>
      <c r="N33" s="17" t="s">
        <v>329</v>
      </c>
      <c r="O33" s="17" t="s">
        <v>330</v>
      </c>
    </row>
    <row r="34" ht="75.0" customHeight="1">
      <c r="A34" s="29" t="s">
        <v>121</v>
      </c>
      <c r="B34" s="29" t="s">
        <v>331</v>
      </c>
      <c r="C34" s="30" t="s">
        <v>332</v>
      </c>
      <c r="D34" s="29" t="s">
        <v>333</v>
      </c>
      <c r="E34" s="8">
        <v>2.0</v>
      </c>
      <c r="F34" s="9" t="s">
        <v>334</v>
      </c>
      <c r="G34" s="9" t="s">
        <v>335</v>
      </c>
      <c r="H34" s="15"/>
      <c r="I34" s="15"/>
      <c r="J34" s="16"/>
      <c r="K34" s="17" t="s">
        <v>336</v>
      </c>
      <c r="L34" s="17" t="s">
        <v>337</v>
      </c>
      <c r="M34" s="17" t="s">
        <v>338</v>
      </c>
      <c r="N34" s="17" t="s">
        <v>339</v>
      </c>
      <c r="O34" s="17" t="s">
        <v>340</v>
      </c>
    </row>
    <row r="35" ht="75.0" customHeight="1">
      <c r="A35" s="29" t="s">
        <v>121</v>
      </c>
      <c r="B35" s="29" t="s">
        <v>331</v>
      </c>
      <c r="C35" s="30" t="s">
        <v>341</v>
      </c>
      <c r="D35" s="29" t="s">
        <v>342</v>
      </c>
      <c r="E35" s="8">
        <v>3.0</v>
      </c>
      <c r="F35" s="9" t="s">
        <v>343</v>
      </c>
      <c r="G35" s="22" t="s">
        <v>67</v>
      </c>
      <c r="H35" s="8" t="s">
        <v>102</v>
      </c>
      <c r="I35" s="8">
        <v>2025.0</v>
      </c>
      <c r="J35" s="16"/>
      <c r="K35" s="17" t="s">
        <v>344</v>
      </c>
      <c r="L35" s="17" t="s">
        <v>345</v>
      </c>
      <c r="M35" s="17" t="s">
        <v>346</v>
      </c>
      <c r="N35" s="17" t="s">
        <v>347</v>
      </c>
      <c r="O35" s="17" t="s">
        <v>348</v>
      </c>
    </row>
    <row r="36" ht="75.0" customHeight="1">
      <c r="A36" s="29" t="s">
        <v>121</v>
      </c>
      <c r="B36" s="29" t="s">
        <v>331</v>
      </c>
      <c r="C36" s="30" t="s">
        <v>349</v>
      </c>
      <c r="D36" s="29" t="s">
        <v>350</v>
      </c>
      <c r="E36" s="8">
        <v>3.0</v>
      </c>
      <c r="F36" s="9" t="s">
        <v>351</v>
      </c>
      <c r="G36" s="22" t="s">
        <v>67</v>
      </c>
      <c r="H36" s="8" t="s">
        <v>102</v>
      </c>
      <c r="I36" s="8">
        <v>2025.0</v>
      </c>
      <c r="J36" s="16"/>
      <c r="K36" s="17" t="s">
        <v>352</v>
      </c>
      <c r="L36" s="17" t="s">
        <v>353</v>
      </c>
      <c r="M36" s="17" t="s">
        <v>354</v>
      </c>
      <c r="N36" s="17" t="s">
        <v>355</v>
      </c>
      <c r="O36" s="17" t="s">
        <v>356</v>
      </c>
    </row>
    <row r="37" ht="75.0" customHeight="1">
      <c r="A37" s="29" t="s">
        <v>121</v>
      </c>
      <c r="B37" s="29" t="s">
        <v>357</v>
      </c>
      <c r="C37" s="30" t="s">
        <v>358</v>
      </c>
      <c r="D37" s="29" t="s">
        <v>359</v>
      </c>
      <c r="E37" s="8">
        <v>3.0</v>
      </c>
      <c r="F37" s="9" t="s">
        <v>360</v>
      </c>
      <c r="G37" s="22" t="s">
        <v>67</v>
      </c>
      <c r="H37" s="8" t="s">
        <v>361</v>
      </c>
      <c r="I37" s="8">
        <v>2025.0</v>
      </c>
      <c r="J37" s="16"/>
      <c r="K37" s="17" t="s">
        <v>362</v>
      </c>
      <c r="L37" s="17" t="s">
        <v>363</v>
      </c>
      <c r="M37" s="17" t="s">
        <v>364</v>
      </c>
      <c r="N37" s="17" t="s">
        <v>365</v>
      </c>
      <c r="O37" s="17" t="s">
        <v>366</v>
      </c>
    </row>
    <row r="38" ht="75.0" customHeight="1">
      <c r="A38" s="29" t="s">
        <v>121</v>
      </c>
      <c r="B38" s="29" t="s">
        <v>357</v>
      </c>
      <c r="C38" s="30" t="s">
        <v>367</v>
      </c>
      <c r="D38" s="29" t="s">
        <v>368</v>
      </c>
      <c r="E38" s="8">
        <v>3.0</v>
      </c>
      <c r="F38" s="9" t="s">
        <v>369</v>
      </c>
      <c r="G38" s="22" t="s">
        <v>67</v>
      </c>
      <c r="H38" s="8" t="s">
        <v>307</v>
      </c>
      <c r="I38" s="8">
        <v>2025.0</v>
      </c>
      <c r="J38" s="16"/>
      <c r="K38" s="17" t="s">
        <v>370</v>
      </c>
      <c r="L38" s="17" t="s">
        <v>371</v>
      </c>
      <c r="M38" s="17" t="s">
        <v>372</v>
      </c>
      <c r="N38" s="17" t="s">
        <v>373</v>
      </c>
      <c r="O38" s="17" t="s">
        <v>374</v>
      </c>
    </row>
    <row r="39" ht="75.0" customHeight="1">
      <c r="A39" s="29" t="s">
        <v>121</v>
      </c>
      <c r="B39" s="29" t="s">
        <v>357</v>
      </c>
      <c r="C39" s="30" t="s">
        <v>375</v>
      </c>
      <c r="D39" s="29" t="s">
        <v>376</v>
      </c>
      <c r="E39" s="8" t="s">
        <v>51</v>
      </c>
      <c r="F39" s="9" t="s">
        <v>52</v>
      </c>
      <c r="G39" s="16"/>
      <c r="H39" s="15"/>
      <c r="I39" s="15"/>
      <c r="J39" s="16"/>
      <c r="K39" s="17" t="s">
        <v>377</v>
      </c>
      <c r="L39" s="17" t="s">
        <v>378</v>
      </c>
      <c r="M39" s="17" t="s">
        <v>379</v>
      </c>
      <c r="N39" s="17" t="s">
        <v>380</v>
      </c>
      <c r="O39" s="17" t="s">
        <v>381</v>
      </c>
    </row>
    <row r="40" ht="75.0" customHeight="1">
      <c r="A40" s="29" t="s">
        <v>121</v>
      </c>
      <c r="B40" s="29" t="s">
        <v>382</v>
      </c>
      <c r="C40" s="30" t="s">
        <v>383</v>
      </c>
      <c r="D40" s="29" t="s">
        <v>384</v>
      </c>
      <c r="E40" s="8">
        <v>3.0</v>
      </c>
      <c r="F40" s="9" t="s">
        <v>385</v>
      </c>
      <c r="G40" s="22" t="s">
        <v>67</v>
      </c>
      <c r="H40" s="8" t="s">
        <v>118</v>
      </c>
      <c r="I40" s="8">
        <v>2025.0</v>
      </c>
      <c r="J40" s="16"/>
      <c r="K40" s="17" t="s">
        <v>386</v>
      </c>
      <c r="L40" s="17" t="s">
        <v>387</v>
      </c>
      <c r="M40" s="17" t="s">
        <v>388</v>
      </c>
      <c r="N40" s="17" t="s">
        <v>389</v>
      </c>
      <c r="O40" s="17" t="s">
        <v>390</v>
      </c>
    </row>
    <row r="41" ht="75.0" customHeight="1">
      <c r="A41" s="29" t="s">
        <v>121</v>
      </c>
      <c r="B41" s="29" t="s">
        <v>382</v>
      </c>
      <c r="C41" s="30" t="s">
        <v>391</v>
      </c>
      <c r="D41" s="29" t="s">
        <v>392</v>
      </c>
      <c r="E41" s="8">
        <v>4.0</v>
      </c>
      <c r="F41" s="9" t="s">
        <v>393</v>
      </c>
      <c r="G41" s="22" t="s">
        <v>67</v>
      </c>
      <c r="H41" s="8" t="s">
        <v>118</v>
      </c>
      <c r="I41" s="8">
        <v>2025.0</v>
      </c>
      <c r="J41" s="16"/>
      <c r="K41" s="17" t="s">
        <v>394</v>
      </c>
      <c r="L41" s="17" t="s">
        <v>395</v>
      </c>
      <c r="M41" s="17" t="s">
        <v>396</v>
      </c>
      <c r="N41" s="17" t="s">
        <v>397</v>
      </c>
      <c r="O41" s="17" t="s">
        <v>398</v>
      </c>
    </row>
    <row r="42" ht="75.0" customHeight="1">
      <c r="A42" s="29" t="s">
        <v>121</v>
      </c>
      <c r="B42" s="29" t="s">
        <v>382</v>
      </c>
      <c r="C42" s="30" t="s">
        <v>399</v>
      </c>
      <c r="D42" s="29" t="s">
        <v>400</v>
      </c>
      <c r="E42" s="8">
        <v>4.0</v>
      </c>
      <c r="F42" s="9" t="s">
        <v>401</v>
      </c>
      <c r="G42" s="9" t="s">
        <v>402</v>
      </c>
      <c r="H42" s="8" t="s">
        <v>403</v>
      </c>
      <c r="I42" s="8">
        <v>2025.0</v>
      </c>
      <c r="J42" s="16"/>
      <c r="K42" s="17" t="s">
        <v>404</v>
      </c>
      <c r="L42" s="17" t="s">
        <v>405</v>
      </c>
      <c r="M42" s="17" t="s">
        <v>406</v>
      </c>
      <c r="N42" s="17" t="s">
        <v>407</v>
      </c>
      <c r="O42" s="17" t="s">
        <v>408</v>
      </c>
    </row>
    <row r="43" ht="75.0" customHeight="1">
      <c r="A43" s="29" t="s">
        <v>121</v>
      </c>
      <c r="B43" s="29" t="s">
        <v>409</v>
      </c>
      <c r="C43" s="30" t="s">
        <v>410</v>
      </c>
      <c r="D43" s="29" t="s">
        <v>411</v>
      </c>
      <c r="E43" s="8">
        <v>4.0</v>
      </c>
      <c r="F43" s="9" t="s">
        <v>412</v>
      </c>
      <c r="G43" s="22" t="s">
        <v>67</v>
      </c>
      <c r="H43" s="8" t="s">
        <v>413</v>
      </c>
      <c r="I43" s="8">
        <v>2025.0</v>
      </c>
      <c r="J43" s="16"/>
      <c r="K43" s="17" t="s">
        <v>414</v>
      </c>
      <c r="L43" s="17" t="s">
        <v>415</v>
      </c>
      <c r="M43" s="17" t="s">
        <v>416</v>
      </c>
      <c r="N43" s="17" t="s">
        <v>417</v>
      </c>
      <c r="O43" s="17" t="s">
        <v>418</v>
      </c>
    </row>
    <row r="44" ht="75.0" customHeight="1">
      <c r="A44" s="29" t="s">
        <v>121</v>
      </c>
      <c r="B44" s="29" t="s">
        <v>409</v>
      </c>
      <c r="C44" s="30" t="s">
        <v>419</v>
      </c>
      <c r="D44" s="29" t="s">
        <v>420</v>
      </c>
      <c r="E44" s="8">
        <v>3.0</v>
      </c>
      <c r="F44" s="9" t="s">
        <v>421</v>
      </c>
      <c r="G44" s="22" t="s">
        <v>67</v>
      </c>
      <c r="H44" s="8" t="s">
        <v>422</v>
      </c>
      <c r="I44" s="8">
        <v>2025.0</v>
      </c>
      <c r="J44" s="16"/>
      <c r="K44" s="17" t="s">
        <v>423</v>
      </c>
      <c r="L44" s="17" t="s">
        <v>424</v>
      </c>
      <c r="M44" s="17" t="s">
        <v>425</v>
      </c>
      <c r="N44" s="17" t="s">
        <v>426</v>
      </c>
      <c r="O44" s="17" t="s">
        <v>427</v>
      </c>
    </row>
    <row r="45" ht="75.0" customHeight="1">
      <c r="A45" s="29" t="s">
        <v>121</v>
      </c>
      <c r="B45" s="29" t="s">
        <v>409</v>
      </c>
      <c r="C45" s="30" t="s">
        <v>428</v>
      </c>
      <c r="D45" s="29" t="s">
        <v>429</v>
      </c>
      <c r="E45" s="8">
        <v>4.0</v>
      </c>
      <c r="F45" s="9" t="s">
        <v>430</v>
      </c>
      <c r="G45" s="22" t="s">
        <v>67</v>
      </c>
      <c r="H45" s="8" t="s">
        <v>102</v>
      </c>
      <c r="I45" s="8">
        <v>2025.0</v>
      </c>
      <c r="J45" s="16"/>
      <c r="K45" s="17" t="s">
        <v>431</v>
      </c>
      <c r="L45" s="17" t="s">
        <v>432</v>
      </c>
      <c r="M45" s="17" t="s">
        <v>433</v>
      </c>
      <c r="N45" s="17" t="s">
        <v>434</v>
      </c>
      <c r="O45" s="17" t="s">
        <v>435</v>
      </c>
    </row>
    <row r="46" ht="75.0" customHeight="1">
      <c r="A46" s="29" t="s">
        <v>121</v>
      </c>
      <c r="B46" s="29" t="s">
        <v>409</v>
      </c>
      <c r="C46" s="30" t="s">
        <v>436</v>
      </c>
      <c r="D46" s="29" t="s">
        <v>437</v>
      </c>
      <c r="E46" s="8">
        <v>4.0</v>
      </c>
      <c r="F46" s="9" t="s">
        <v>438</v>
      </c>
      <c r="G46" s="22" t="s">
        <v>67</v>
      </c>
      <c r="H46" s="8" t="s">
        <v>439</v>
      </c>
      <c r="I46" s="8">
        <v>2025.0</v>
      </c>
      <c r="J46" s="16"/>
      <c r="K46" s="17" t="s">
        <v>440</v>
      </c>
      <c r="L46" s="17" t="s">
        <v>441</v>
      </c>
      <c r="M46" s="17" t="s">
        <v>442</v>
      </c>
      <c r="N46" s="17" t="s">
        <v>443</v>
      </c>
      <c r="O46" s="17" t="s">
        <v>444</v>
      </c>
    </row>
    <row r="47" ht="75.0" customHeight="1">
      <c r="A47" s="29" t="s">
        <v>121</v>
      </c>
      <c r="B47" s="29" t="s">
        <v>409</v>
      </c>
      <c r="C47" s="30" t="s">
        <v>445</v>
      </c>
      <c r="D47" s="29" t="s">
        <v>446</v>
      </c>
      <c r="E47" s="8">
        <v>4.0</v>
      </c>
      <c r="F47" s="9" t="s">
        <v>447</v>
      </c>
      <c r="G47" s="9" t="s">
        <v>448</v>
      </c>
      <c r="H47" s="8" t="s">
        <v>449</v>
      </c>
      <c r="I47" s="8">
        <v>2025.0</v>
      </c>
      <c r="J47" s="16"/>
      <c r="K47" s="17" t="s">
        <v>450</v>
      </c>
      <c r="L47" s="17" t="s">
        <v>451</v>
      </c>
      <c r="M47" s="17" t="s">
        <v>452</v>
      </c>
      <c r="N47" s="17" t="s">
        <v>453</v>
      </c>
      <c r="O47" s="17" t="s">
        <v>454</v>
      </c>
    </row>
    <row r="48" ht="75.0" customHeight="1">
      <c r="A48" s="29" t="s">
        <v>121</v>
      </c>
      <c r="B48" s="29" t="s">
        <v>409</v>
      </c>
      <c r="C48" s="30" t="s">
        <v>455</v>
      </c>
      <c r="D48" s="29" t="s">
        <v>456</v>
      </c>
      <c r="E48" s="8">
        <v>4.0</v>
      </c>
      <c r="F48" s="9" t="s">
        <v>457</v>
      </c>
      <c r="G48" s="9" t="s">
        <v>458</v>
      </c>
      <c r="H48" s="8" t="s">
        <v>449</v>
      </c>
      <c r="I48" s="8">
        <v>2025.0</v>
      </c>
      <c r="J48" s="16"/>
      <c r="K48" s="17" t="s">
        <v>459</v>
      </c>
      <c r="L48" s="17" t="s">
        <v>460</v>
      </c>
      <c r="M48" s="17" t="s">
        <v>461</v>
      </c>
      <c r="N48" s="17" t="s">
        <v>462</v>
      </c>
      <c r="O48" s="17" t="s">
        <v>463</v>
      </c>
    </row>
    <row r="49" ht="75.0" customHeight="1">
      <c r="A49" s="29" t="s">
        <v>121</v>
      </c>
      <c r="B49" s="29" t="s">
        <v>409</v>
      </c>
      <c r="C49" s="30" t="s">
        <v>464</v>
      </c>
      <c r="D49" s="29" t="s">
        <v>465</v>
      </c>
      <c r="E49" s="8">
        <v>4.0</v>
      </c>
      <c r="F49" s="9" t="s">
        <v>466</v>
      </c>
      <c r="G49" s="9" t="s">
        <v>402</v>
      </c>
      <c r="H49" s="8" t="s">
        <v>467</v>
      </c>
      <c r="I49" s="8">
        <v>2025.0</v>
      </c>
      <c r="J49" s="16"/>
      <c r="K49" s="17" t="s">
        <v>468</v>
      </c>
      <c r="L49" s="17" t="s">
        <v>469</v>
      </c>
      <c r="M49" s="17" t="s">
        <v>470</v>
      </c>
      <c r="N49" s="17" t="s">
        <v>471</v>
      </c>
      <c r="O49" s="17" t="s">
        <v>472</v>
      </c>
    </row>
    <row r="50" ht="75.0" customHeight="1">
      <c r="A50" s="29" t="s">
        <v>121</v>
      </c>
      <c r="B50" s="29" t="s">
        <v>409</v>
      </c>
      <c r="C50" s="30" t="s">
        <v>473</v>
      </c>
      <c r="D50" s="29" t="s">
        <v>474</v>
      </c>
      <c r="E50" s="8">
        <v>4.0</v>
      </c>
      <c r="F50" s="9" t="s">
        <v>475</v>
      </c>
      <c r="G50" s="9" t="s">
        <v>476</v>
      </c>
      <c r="H50" s="8" t="s">
        <v>449</v>
      </c>
      <c r="I50" s="8">
        <v>2025.0</v>
      </c>
      <c r="J50" s="16"/>
      <c r="K50" s="17" t="s">
        <v>477</v>
      </c>
      <c r="L50" s="17" t="s">
        <v>478</v>
      </c>
      <c r="M50" s="17" t="s">
        <v>479</v>
      </c>
      <c r="N50" s="17" t="s">
        <v>480</v>
      </c>
      <c r="O50" s="17" t="s">
        <v>481</v>
      </c>
    </row>
    <row r="51" ht="75.0" customHeight="1">
      <c r="A51" s="31" t="s">
        <v>138</v>
      </c>
      <c r="B51" s="31" t="s">
        <v>482</v>
      </c>
      <c r="C51" s="32" t="s">
        <v>483</v>
      </c>
      <c r="D51" s="31" t="s">
        <v>484</v>
      </c>
      <c r="E51" s="8">
        <v>3.0</v>
      </c>
      <c r="F51" s="9" t="s">
        <v>485</v>
      </c>
      <c r="G51" s="22" t="s">
        <v>67</v>
      </c>
      <c r="H51" s="8" t="s">
        <v>422</v>
      </c>
      <c r="I51" s="8">
        <v>2025.0</v>
      </c>
      <c r="J51" s="16"/>
      <c r="K51" s="17" t="s">
        <v>486</v>
      </c>
      <c r="L51" s="17" t="s">
        <v>487</v>
      </c>
      <c r="M51" s="17" t="s">
        <v>488</v>
      </c>
      <c r="N51" s="17" t="s">
        <v>489</v>
      </c>
      <c r="O51" s="17" t="s">
        <v>490</v>
      </c>
    </row>
    <row r="52" ht="75.0" customHeight="1">
      <c r="A52" s="31" t="s">
        <v>138</v>
      </c>
      <c r="B52" s="31" t="s">
        <v>482</v>
      </c>
      <c r="C52" s="32" t="s">
        <v>491</v>
      </c>
      <c r="D52" s="31" t="s">
        <v>492</v>
      </c>
      <c r="E52" s="8">
        <v>3.0</v>
      </c>
      <c r="F52" s="9" t="s">
        <v>493</v>
      </c>
      <c r="G52" s="22" t="s">
        <v>67</v>
      </c>
      <c r="H52" s="8" t="s">
        <v>102</v>
      </c>
      <c r="I52" s="8">
        <v>2025.0</v>
      </c>
      <c r="J52" s="16"/>
      <c r="K52" s="17" t="s">
        <v>494</v>
      </c>
      <c r="L52" s="17" t="s">
        <v>495</v>
      </c>
      <c r="M52" s="17" t="s">
        <v>496</v>
      </c>
      <c r="N52" s="17" t="s">
        <v>497</v>
      </c>
      <c r="O52" s="17" t="s">
        <v>498</v>
      </c>
    </row>
    <row r="53" ht="75.0" customHeight="1">
      <c r="A53" s="31" t="s">
        <v>138</v>
      </c>
      <c r="B53" s="31" t="s">
        <v>482</v>
      </c>
      <c r="C53" s="32" t="s">
        <v>499</v>
      </c>
      <c r="D53" s="31" t="s">
        <v>500</v>
      </c>
      <c r="E53" s="8">
        <v>3.0</v>
      </c>
      <c r="F53" s="9" t="s">
        <v>501</v>
      </c>
      <c r="G53" s="22" t="s">
        <v>67</v>
      </c>
      <c r="H53" s="8" t="s">
        <v>502</v>
      </c>
      <c r="I53" s="8">
        <v>2025.0</v>
      </c>
      <c r="J53" s="16"/>
      <c r="K53" s="17" t="s">
        <v>503</v>
      </c>
      <c r="L53" s="17" t="s">
        <v>504</v>
      </c>
      <c r="M53" s="17" t="s">
        <v>505</v>
      </c>
      <c r="N53" s="17" t="s">
        <v>506</v>
      </c>
      <c r="O53" s="17" t="s">
        <v>507</v>
      </c>
    </row>
    <row r="54" ht="75.0" customHeight="1">
      <c r="A54" s="31" t="s">
        <v>138</v>
      </c>
      <c r="B54" s="31" t="s">
        <v>482</v>
      </c>
      <c r="C54" s="32" t="s">
        <v>508</v>
      </c>
      <c r="D54" s="31" t="s">
        <v>509</v>
      </c>
      <c r="E54" s="8">
        <v>3.0</v>
      </c>
      <c r="F54" s="9" t="s">
        <v>510</v>
      </c>
      <c r="G54" s="22" t="s">
        <v>67</v>
      </c>
      <c r="H54" s="8" t="s">
        <v>511</v>
      </c>
      <c r="I54" s="8">
        <v>2025.0</v>
      </c>
      <c r="J54" s="16"/>
      <c r="K54" s="17" t="s">
        <v>512</v>
      </c>
      <c r="L54" s="17" t="s">
        <v>513</v>
      </c>
      <c r="M54" s="17" t="s">
        <v>514</v>
      </c>
      <c r="N54" s="17" t="s">
        <v>515</v>
      </c>
      <c r="O54" s="17" t="s">
        <v>516</v>
      </c>
    </row>
    <row r="55" ht="75.0" customHeight="1">
      <c r="A55" s="31" t="s">
        <v>138</v>
      </c>
      <c r="B55" s="31" t="s">
        <v>482</v>
      </c>
      <c r="C55" s="32" t="s">
        <v>517</v>
      </c>
      <c r="D55" s="31" t="s">
        <v>518</v>
      </c>
      <c r="E55" s="8">
        <v>4.0</v>
      </c>
      <c r="F55" s="9" t="s">
        <v>519</v>
      </c>
      <c r="G55" s="9" t="s">
        <v>520</v>
      </c>
      <c r="H55" s="8" t="s">
        <v>521</v>
      </c>
      <c r="I55" s="8">
        <v>2025.0</v>
      </c>
      <c r="J55" s="16"/>
      <c r="K55" s="17" t="s">
        <v>522</v>
      </c>
      <c r="L55" s="17" t="s">
        <v>523</v>
      </c>
      <c r="M55" s="17" t="s">
        <v>524</v>
      </c>
      <c r="N55" s="17" t="s">
        <v>525</v>
      </c>
      <c r="O55" s="17" t="s">
        <v>526</v>
      </c>
    </row>
    <row r="56" ht="75.0" customHeight="1">
      <c r="A56" s="31" t="s">
        <v>138</v>
      </c>
      <c r="B56" s="31" t="s">
        <v>527</v>
      </c>
      <c r="C56" s="32" t="s">
        <v>528</v>
      </c>
      <c r="D56" s="31" t="s">
        <v>529</v>
      </c>
      <c r="E56" s="8">
        <v>4.0</v>
      </c>
      <c r="F56" s="9" t="s">
        <v>530</v>
      </c>
      <c r="G56" s="22" t="s">
        <v>67</v>
      </c>
      <c r="H56" s="8" t="s">
        <v>102</v>
      </c>
      <c r="I56" s="8">
        <v>2025.0</v>
      </c>
      <c r="J56" s="16"/>
      <c r="K56" s="17" t="s">
        <v>531</v>
      </c>
      <c r="L56" s="17" t="s">
        <v>532</v>
      </c>
      <c r="M56" s="17" t="s">
        <v>533</v>
      </c>
      <c r="N56" s="17" t="s">
        <v>534</v>
      </c>
      <c r="O56" s="17" t="s">
        <v>535</v>
      </c>
    </row>
    <row r="57" ht="75.0" customHeight="1">
      <c r="A57" s="31" t="s">
        <v>138</v>
      </c>
      <c r="B57" s="31" t="s">
        <v>527</v>
      </c>
      <c r="C57" s="32" t="s">
        <v>536</v>
      </c>
      <c r="D57" s="31" t="s">
        <v>537</v>
      </c>
      <c r="E57" s="8">
        <v>2.0</v>
      </c>
      <c r="F57" s="9" t="s">
        <v>538</v>
      </c>
      <c r="G57" s="22" t="s">
        <v>67</v>
      </c>
      <c r="H57" s="8" t="s">
        <v>102</v>
      </c>
      <c r="I57" s="8">
        <v>2025.0</v>
      </c>
      <c r="J57" s="16"/>
      <c r="K57" s="17" t="s">
        <v>539</v>
      </c>
      <c r="L57" s="17" t="s">
        <v>540</v>
      </c>
      <c r="M57" s="17" t="s">
        <v>541</v>
      </c>
      <c r="N57" s="17" t="s">
        <v>542</v>
      </c>
      <c r="O57" s="17" t="s">
        <v>543</v>
      </c>
    </row>
    <row r="58" ht="75.0" customHeight="1">
      <c r="A58" s="31" t="s">
        <v>138</v>
      </c>
      <c r="B58" s="31" t="s">
        <v>527</v>
      </c>
      <c r="C58" s="32" t="s">
        <v>544</v>
      </c>
      <c r="D58" s="31" t="s">
        <v>545</v>
      </c>
      <c r="E58" s="8" t="s">
        <v>51</v>
      </c>
      <c r="F58" s="9" t="s">
        <v>52</v>
      </c>
      <c r="G58" s="16"/>
      <c r="H58" s="15"/>
      <c r="I58" s="15"/>
      <c r="J58" s="16"/>
      <c r="K58" s="17" t="s">
        <v>546</v>
      </c>
      <c r="L58" s="17" t="s">
        <v>547</v>
      </c>
      <c r="M58" s="17" t="s">
        <v>548</v>
      </c>
      <c r="N58" s="17" t="s">
        <v>549</v>
      </c>
      <c r="O58" s="17" t="s">
        <v>550</v>
      </c>
    </row>
    <row r="59" ht="75.0" customHeight="1">
      <c r="A59" s="31" t="s">
        <v>138</v>
      </c>
      <c r="B59" s="31" t="s">
        <v>527</v>
      </c>
      <c r="C59" s="32" t="s">
        <v>551</v>
      </c>
      <c r="D59" s="31" t="s">
        <v>552</v>
      </c>
      <c r="E59" s="8" t="s">
        <v>51</v>
      </c>
      <c r="F59" s="9" t="s">
        <v>52</v>
      </c>
      <c r="G59" s="16"/>
      <c r="H59" s="15"/>
      <c r="I59" s="15"/>
      <c r="J59" s="16"/>
      <c r="K59" s="17" t="s">
        <v>553</v>
      </c>
      <c r="L59" s="17" t="s">
        <v>554</v>
      </c>
      <c r="M59" s="17" t="s">
        <v>555</v>
      </c>
      <c r="N59" s="17" t="s">
        <v>556</v>
      </c>
      <c r="O59" s="17" t="s">
        <v>557</v>
      </c>
    </row>
    <row r="60" ht="75.0" customHeight="1">
      <c r="A60" s="31" t="s">
        <v>138</v>
      </c>
      <c r="B60" s="31" t="s">
        <v>527</v>
      </c>
      <c r="C60" s="32" t="s">
        <v>558</v>
      </c>
      <c r="D60" s="31" t="s">
        <v>559</v>
      </c>
      <c r="E60" s="8">
        <v>2.0</v>
      </c>
      <c r="F60" s="9" t="s">
        <v>560</v>
      </c>
      <c r="G60" s="9" t="s">
        <v>129</v>
      </c>
      <c r="H60" s="8" t="s">
        <v>449</v>
      </c>
      <c r="I60" s="8">
        <v>2025.0</v>
      </c>
      <c r="J60" s="16"/>
      <c r="K60" s="17" t="s">
        <v>561</v>
      </c>
      <c r="L60" s="17" t="s">
        <v>562</v>
      </c>
      <c r="M60" s="17" t="s">
        <v>563</v>
      </c>
      <c r="N60" s="17" t="s">
        <v>564</v>
      </c>
      <c r="O60" s="17" t="s">
        <v>565</v>
      </c>
    </row>
    <row r="61" ht="75.0" customHeight="1">
      <c r="A61" s="31" t="s">
        <v>138</v>
      </c>
      <c r="B61" s="31" t="s">
        <v>527</v>
      </c>
      <c r="C61" s="32" t="s">
        <v>566</v>
      </c>
      <c r="D61" s="31" t="s">
        <v>567</v>
      </c>
      <c r="E61" s="8">
        <v>2.0</v>
      </c>
      <c r="F61" s="9" t="s">
        <v>568</v>
      </c>
      <c r="G61" s="9" t="s">
        <v>129</v>
      </c>
      <c r="H61" s="8" t="s">
        <v>449</v>
      </c>
      <c r="I61" s="8">
        <v>2025.0</v>
      </c>
      <c r="J61" s="16"/>
      <c r="K61" s="17" t="s">
        <v>569</v>
      </c>
      <c r="L61" s="17" t="s">
        <v>570</v>
      </c>
      <c r="M61" s="17" t="s">
        <v>571</v>
      </c>
      <c r="N61" s="17" t="s">
        <v>572</v>
      </c>
      <c r="O61" s="17" t="s">
        <v>573</v>
      </c>
    </row>
    <row r="62" ht="75.0" customHeight="1">
      <c r="A62" s="31" t="s">
        <v>138</v>
      </c>
      <c r="B62" s="31" t="s">
        <v>527</v>
      </c>
      <c r="C62" s="32" t="s">
        <v>574</v>
      </c>
      <c r="D62" s="31" t="s">
        <v>575</v>
      </c>
      <c r="E62" s="8">
        <v>3.0</v>
      </c>
      <c r="F62" s="9" t="s">
        <v>576</v>
      </c>
      <c r="G62" s="22" t="s">
        <v>67</v>
      </c>
      <c r="H62" s="8" t="s">
        <v>577</v>
      </c>
      <c r="I62" s="8">
        <v>2025.0</v>
      </c>
      <c r="J62" s="16"/>
      <c r="K62" s="17" t="s">
        <v>578</v>
      </c>
      <c r="L62" s="17" t="s">
        <v>579</v>
      </c>
      <c r="M62" s="17" t="s">
        <v>580</v>
      </c>
      <c r="N62" s="17" t="s">
        <v>581</v>
      </c>
      <c r="O62" s="17" t="s">
        <v>582</v>
      </c>
    </row>
    <row r="63" ht="75.0" customHeight="1">
      <c r="A63" s="31" t="s">
        <v>138</v>
      </c>
      <c r="B63" s="31" t="s">
        <v>583</v>
      </c>
      <c r="C63" s="32" t="s">
        <v>584</v>
      </c>
      <c r="D63" s="31" t="s">
        <v>585</v>
      </c>
      <c r="E63" s="8" t="s">
        <v>51</v>
      </c>
      <c r="F63" s="9" t="s">
        <v>52</v>
      </c>
      <c r="G63" s="16"/>
      <c r="H63" s="15"/>
      <c r="I63" s="15"/>
      <c r="J63" s="16"/>
      <c r="K63" s="17" t="s">
        <v>586</v>
      </c>
      <c r="L63" s="17" t="s">
        <v>587</v>
      </c>
      <c r="M63" s="17" t="s">
        <v>588</v>
      </c>
      <c r="N63" s="17" t="s">
        <v>589</v>
      </c>
      <c r="O63" s="17" t="s">
        <v>590</v>
      </c>
    </row>
    <row r="64" ht="75.0" customHeight="1">
      <c r="A64" s="31" t="s">
        <v>138</v>
      </c>
      <c r="B64" s="31" t="s">
        <v>583</v>
      </c>
      <c r="C64" s="32" t="s">
        <v>591</v>
      </c>
      <c r="D64" s="31" t="s">
        <v>592</v>
      </c>
      <c r="E64" s="8" t="s">
        <v>51</v>
      </c>
      <c r="F64" s="9" t="s">
        <v>52</v>
      </c>
      <c r="G64" s="16"/>
      <c r="H64" s="15"/>
      <c r="I64" s="15"/>
      <c r="J64" s="16"/>
      <c r="K64" s="17" t="s">
        <v>593</v>
      </c>
      <c r="L64" s="17" t="s">
        <v>594</v>
      </c>
      <c r="M64" s="17" t="s">
        <v>595</v>
      </c>
      <c r="N64" s="17" t="s">
        <v>596</v>
      </c>
      <c r="O64" s="17" t="s">
        <v>597</v>
      </c>
    </row>
    <row r="65" ht="75.0" customHeight="1">
      <c r="A65" s="31" t="s">
        <v>138</v>
      </c>
      <c r="B65" s="31" t="s">
        <v>583</v>
      </c>
      <c r="C65" s="32" t="s">
        <v>598</v>
      </c>
      <c r="D65" s="31" t="s">
        <v>599</v>
      </c>
      <c r="E65" s="8">
        <v>3.0</v>
      </c>
      <c r="F65" s="9" t="s">
        <v>600</v>
      </c>
      <c r="G65" s="22" t="s">
        <v>67</v>
      </c>
      <c r="H65" s="8" t="s">
        <v>601</v>
      </c>
      <c r="I65" s="8">
        <v>2025.0</v>
      </c>
      <c r="J65" s="16"/>
      <c r="K65" s="17" t="s">
        <v>602</v>
      </c>
      <c r="L65" s="17" t="s">
        <v>603</v>
      </c>
      <c r="M65" s="17" t="s">
        <v>604</v>
      </c>
      <c r="N65" s="17" t="s">
        <v>605</v>
      </c>
      <c r="O65" s="17" t="s">
        <v>606</v>
      </c>
    </row>
    <row r="66" ht="75.0" customHeight="1">
      <c r="A66" s="31" t="s">
        <v>138</v>
      </c>
      <c r="B66" s="31" t="s">
        <v>583</v>
      </c>
      <c r="C66" s="32" t="s">
        <v>607</v>
      </c>
      <c r="D66" s="31" t="s">
        <v>608</v>
      </c>
      <c r="E66" s="8" t="s">
        <v>51</v>
      </c>
      <c r="F66" s="9" t="s">
        <v>52</v>
      </c>
      <c r="G66" s="16"/>
      <c r="H66" s="15"/>
      <c r="I66" s="15"/>
      <c r="J66" s="16"/>
      <c r="K66" s="17" t="s">
        <v>609</v>
      </c>
      <c r="L66" s="17" t="s">
        <v>610</v>
      </c>
      <c r="M66" s="17" t="s">
        <v>611</v>
      </c>
      <c r="N66" s="17" t="s">
        <v>612</v>
      </c>
      <c r="O66" s="17" t="s">
        <v>613</v>
      </c>
    </row>
    <row r="67" ht="75.0" customHeight="1">
      <c r="A67" s="31" t="s">
        <v>138</v>
      </c>
      <c r="B67" s="31" t="s">
        <v>614</v>
      </c>
      <c r="C67" s="32" t="s">
        <v>615</v>
      </c>
      <c r="D67" s="31" t="s">
        <v>616</v>
      </c>
      <c r="E67" s="8">
        <v>4.0</v>
      </c>
      <c r="F67" s="9" t="s">
        <v>617</v>
      </c>
      <c r="G67" s="9" t="s">
        <v>618</v>
      </c>
      <c r="H67" s="8" t="s">
        <v>619</v>
      </c>
      <c r="I67" s="8">
        <v>2025.0</v>
      </c>
      <c r="J67" s="16"/>
      <c r="K67" s="17" t="s">
        <v>620</v>
      </c>
      <c r="L67" s="17" t="s">
        <v>621</v>
      </c>
      <c r="M67" s="17" t="s">
        <v>622</v>
      </c>
      <c r="N67" s="17" t="s">
        <v>623</v>
      </c>
      <c r="O67" s="17" t="s">
        <v>624</v>
      </c>
    </row>
    <row r="68" ht="75.0" customHeight="1">
      <c r="A68" s="31" t="s">
        <v>138</v>
      </c>
      <c r="B68" s="31" t="s">
        <v>614</v>
      </c>
      <c r="C68" s="32" t="s">
        <v>625</v>
      </c>
      <c r="D68" s="31" t="s">
        <v>626</v>
      </c>
      <c r="E68" s="8">
        <v>3.0</v>
      </c>
      <c r="F68" s="9" t="s">
        <v>627</v>
      </c>
      <c r="G68" s="9" t="s">
        <v>476</v>
      </c>
      <c r="H68" s="8" t="s">
        <v>628</v>
      </c>
      <c r="I68" s="8">
        <v>2025.0</v>
      </c>
      <c r="J68" s="16"/>
      <c r="K68" s="17" t="s">
        <v>629</v>
      </c>
      <c r="L68" s="17" t="s">
        <v>630</v>
      </c>
      <c r="M68" s="17" t="s">
        <v>631</v>
      </c>
      <c r="N68" s="17" t="s">
        <v>632</v>
      </c>
      <c r="O68" s="17" t="s">
        <v>633</v>
      </c>
    </row>
    <row r="69" ht="75.0" customHeight="1">
      <c r="A69" s="31" t="s">
        <v>138</v>
      </c>
      <c r="B69" s="31" t="s">
        <v>614</v>
      </c>
      <c r="C69" s="32" t="s">
        <v>634</v>
      </c>
      <c r="D69" s="31" t="s">
        <v>635</v>
      </c>
      <c r="E69" s="8">
        <v>2.0</v>
      </c>
      <c r="F69" s="9" t="s">
        <v>636</v>
      </c>
      <c r="G69" s="22" t="s">
        <v>67</v>
      </c>
      <c r="H69" s="8" t="s">
        <v>102</v>
      </c>
      <c r="I69" s="8">
        <v>2025.0</v>
      </c>
      <c r="J69" s="16"/>
      <c r="K69" s="17" t="s">
        <v>637</v>
      </c>
      <c r="L69" s="17" t="s">
        <v>638</v>
      </c>
      <c r="M69" s="17" t="s">
        <v>639</v>
      </c>
      <c r="N69" s="17" t="s">
        <v>640</v>
      </c>
      <c r="O69" s="17" t="s">
        <v>641</v>
      </c>
    </row>
    <row r="70" ht="75.0" customHeight="1">
      <c r="A70" s="31" t="s">
        <v>138</v>
      </c>
      <c r="B70" s="31" t="s">
        <v>614</v>
      </c>
      <c r="C70" s="32" t="s">
        <v>642</v>
      </c>
      <c r="D70" s="31" t="s">
        <v>643</v>
      </c>
      <c r="E70" s="8" t="s">
        <v>51</v>
      </c>
      <c r="F70" s="9" t="s">
        <v>52</v>
      </c>
      <c r="G70" s="16"/>
      <c r="H70" s="15"/>
      <c r="I70" s="15"/>
      <c r="J70" s="16"/>
      <c r="K70" s="17" t="s">
        <v>644</v>
      </c>
      <c r="L70" s="17" t="s">
        <v>645</v>
      </c>
      <c r="M70" s="17" t="s">
        <v>646</v>
      </c>
      <c r="N70" s="17" t="s">
        <v>647</v>
      </c>
      <c r="O70" s="17" t="s">
        <v>648</v>
      </c>
    </row>
    <row r="71" ht="75.0" customHeight="1">
      <c r="A71" s="31" t="s">
        <v>138</v>
      </c>
      <c r="B71" s="31" t="s">
        <v>649</v>
      </c>
      <c r="C71" s="32" t="s">
        <v>650</v>
      </c>
      <c r="D71" s="31" t="s">
        <v>651</v>
      </c>
      <c r="E71" s="8">
        <v>3.0</v>
      </c>
      <c r="F71" s="9" t="s">
        <v>652</v>
      </c>
      <c r="G71" s="9" t="s">
        <v>653</v>
      </c>
      <c r="H71" s="15"/>
      <c r="I71" s="8">
        <v>2016.0</v>
      </c>
      <c r="J71" s="16"/>
      <c r="K71" s="17" t="s">
        <v>654</v>
      </c>
      <c r="L71" s="17" t="s">
        <v>655</v>
      </c>
      <c r="M71" s="17" t="s">
        <v>656</v>
      </c>
      <c r="N71" s="17" t="s">
        <v>657</v>
      </c>
      <c r="O71" s="17" t="s">
        <v>658</v>
      </c>
    </row>
    <row r="72" ht="75.0" customHeight="1">
      <c r="A72" s="31" t="s">
        <v>138</v>
      </c>
      <c r="B72" s="31" t="s">
        <v>649</v>
      </c>
      <c r="C72" s="32" t="s">
        <v>659</v>
      </c>
      <c r="D72" s="31" t="s">
        <v>660</v>
      </c>
      <c r="E72" s="8" t="s">
        <v>51</v>
      </c>
      <c r="F72" s="9" t="s">
        <v>52</v>
      </c>
      <c r="G72" s="16"/>
      <c r="H72" s="15"/>
      <c r="I72" s="15"/>
      <c r="J72" s="16"/>
      <c r="K72" s="17" t="s">
        <v>661</v>
      </c>
      <c r="L72" s="17" t="s">
        <v>662</v>
      </c>
      <c r="M72" s="17" t="s">
        <v>663</v>
      </c>
      <c r="N72" s="17" t="s">
        <v>664</v>
      </c>
      <c r="O72" s="17" t="s">
        <v>665</v>
      </c>
    </row>
    <row r="73" ht="75.0" customHeight="1">
      <c r="A73" s="31" t="s">
        <v>138</v>
      </c>
      <c r="B73" s="31" t="s">
        <v>649</v>
      </c>
      <c r="C73" s="32" t="s">
        <v>666</v>
      </c>
      <c r="D73" s="31" t="s">
        <v>667</v>
      </c>
      <c r="E73" s="8" t="s">
        <v>51</v>
      </c>
      <c r="F73" s="9" t="s">
        <v>52</v>
      </c>
      <c r="G73" s="16"/>
      <c r="H73" s="15"/>
      <c r="I73" s="15"/>
      <c r="J73" s="16"/>
      <c r="K73" s="17" t="s">
        <v>668</v>
      </c>
      <c r="L73" s="17" t="s">
        <v>669</v>
      </c>
      <c r="M73" s="17" t="s">
        <v>670</v>
      </c>
      <c r="N73" s="17" t="s">
        <v>671</v>
      </c>
      <c r="O73" s="17" t="s">
        <v>672</v>
      </c>
    </row>
    <row r="74" ht="75.0" customHeight="1">
      <c r="A74" s="31" t="s">
        <v>138</v>
      </c>
      <c r="B74" s="31" t="s">
        <v>649</v>
      </c>
      <c r="C74" s="32" t="s">
        <v>673</v>
      </c>
      <c r="D74" s="31" t="s">
        <v>674</v>
      </c>
      <c r="E74" s="8" t="s">
        <v>51</v>
      </c>
      <c r="F74" s="9" t="s">
        <v>52</v>
      </c>
      <c r="G74" s="16"/>
      <c r="H74" s="15"/>
      <c r="I74" s="15"/>
      <c r="J74" s="16"/>
      <c r="K74" s="17" t="s">
        <v>675</v>
      </c>
      <c r="L74" s="17" t="s">
        <v>676</v>
      </c>
      <c r="M74" s="17" t="s">
        <v>677</v>
      </c>
      <c r="N74" s="17" t="s">
        <v>678</v>
      </c>
      <c r="O74" s="17" t="s">
        <v>679</v>
      </c>
    </row>
    <row r="75" ht="75.0" customHeight="1">
      <c r="A75" s="31" t="s">
        <v>138</v>
      </c>
      <c r="B75" s="31" t="s">
        <v>649</v>
      </c>
      <c r="C75" s="32" t="s">
        <v>680</v>
      </c>
      <c r="D75" s="31" t="s">
        <v>681</v>
      </c>
      <c r="E75" s="8">
        <v>3.0</v>
      </c>
      <c r="F75" s="9" t="s">
        <v>682</v>
      </c>
      <c r="G75" s="22" t="s">
        <v>67</v>
      </c>
      <c r="H75" s="8" t="s">
        <v>577</v>
      </c>
      <c r="I75" s="8">
        <v>2025.0</v>
      </c>
      <c r="J75" s="16"/>
      <c r="K75" s="17" t="s">
        <v>683</v>
      </c>
      <c r="L75" s="17" t="s">
        <v>684</v>
      </c>
      <c r="M75" s="17" t="s">
        <v>685</v>
      </c>
      <c r="N75" s="17" t="s">
        <v>686</v>
      </c>
      <c r="O75" s="17" t="s">
        <v>687</v>
      </c>
    </row>
    <row r="76" ht="75.0" customHeight="1">
      <c r="A76" s="31" t="s">
        <v>138</v>
      </c>
      <c r="B76" s="31" t="s">
        <v>649</v>
      </c>
      <c r="C76" s="32" t="s">
        <v>688</v>
      </c>
      <c r="D76" s="31" t="s">
        <v>689</v>
      </c>
      <c r="E76" s="8" t="s">
        <v>51</v>
      </c>
      <c r="F76" s="9" t="s">
        <v>52</v>
      </c>
      <c r="G76" s="16"/>
      <c r="H76" s="15"/>
      <c r="I76" s="15"/>
      <c r="J76" s="16"/>
      <c r="K76" s="17" t="s">
        <v>690</v>
      </c>
      <c r="L76" s="17" t="s">
        <v>691</v>
      </c>
      <c r="M76" s="17" t="s">
        <v>692</v>
      </c>
      <c r="N76" s="17" t="s">
        <v>693</v>
      </c>
      <c r="O76" s="17" t="s">
        <v>694</v>
      </c>
    </row>
    <row r="77" ht="75.0" customHeight="1">
      <c r="A77" s="31" t="s">
        <v>138</v>
      </c>
      <c r="B77" s="31" t="s">
        <v>649</v>
      </c>
      <c r="C77" s="32" t="s">
        <v>695</v>
      </c>
      <c r="D77" s="31" t="s">
        <v>696</v>
      </c>
      <c r="E77" s="8">
        <v>2.0</v>
      </c>
      <c r="F77" s="9" t="s">
        <v>697</v>
      </c>
      <c r="G77" s="22" t="s">
        <v>67</v>
      </c>
      <c r="H77" s="8" t="s">
        <v>102</v>
      </c>
      <c r="I77" s="8">
        <v>2025.0</v>
      </c>
      <c r="J77" s="16"/>
      <c r="K77" s="17" t="s">
        <v>698</v>
      </c>
      <c r="L77" s="17" t="s">
        <v>699</v>
      </c>
      <c r="M77" s="17" t="s">
        <v>700</v>
      </c>
      <c r="N77" s="17" t="s">
        <v>701</v>
      </c>
      <c r="O77" s="17" t="s">
        <v>702</v>
      </c>
    </row>
    <row r="78" ht="75.0" customHeight="1">
      <c r="A78" s="31" t="s">
        <v>138</v>
      </c>
      <c r="B78" s="31" t="s">
        <v>649</v>
      </c>
      <c r="C78" s="32" t="s">
        <v>703</v>
      </c>
      <c r="D78" s="31" t="s">
        <v>704</v>
      </c>
      <c r="E78" s="8" t="s">
        <v>51</v>
      </c>
      <c r="F78" s="9" t="s">
        <v>52</v>
      </c>
      <c r="G78" s="16"/>
      <c r="H78" s="15"/>
      <c r="I78" s="15"/>
      <c r="J78" s="16"/>
      <c r="K78" s="17" t="s">
        <v>705</v>
      </c>
      <c r="L78" s="17" t="s">
        <v>706</v>
      </c>
      <c r="M78" s="17" t="s">
        <v>707</v>
      </c>
      <c r="N78" s="17" t="s">
        <v>708</v>
      </c>
      <c r="O78" s="17" t="s">
        <v>709</v>
      </c>
    </row>
    <row r="79" ht="75.0" customHeight="1">
      <c r="A79" s="31" t="s">
        <v>138</v>
      </c>
      <c r="B79" s="31" t="s">
        <v>649</v>
      </c>
      <c r="C79" s="32" t="s">
        <v>710</v>
      </c>
      <c r="D79" s="31" t="s">
        <v>711</v>
      </c>
      <c r="E79" s="8">
        <v>2.0</v>
      </c>
      <c r="F79" s="9" t="s">
        <v>712</v>
      </c>
      <c r="G79" s="9" t="s">
        <v>520</v>
      </c>
      <c r="H79" s="8" t="s">
        <v>713</v>
      </c>
      <c r="I79" s="8">
        <v>2025.0</v>
      </c>
      <c r="J79" s="16"/>
      <c r="K79" s="17" t="s">
        <v>714</v>
      </c>
      <c r="L79" s="17" t="s">
        <v>715</v>
      </c>
      <c r="M79" s="17" t="s">
        <v>716</v>
      </c>
      <c r="N79" s="17" t="s">
        <v>717</v>
      </c>
      <c r="O79" s="17" t="s">
        <v>718</v>
      </c>
    </row>
    <row r="80" ht="75.0" customHeight="1">
      <c r="A80" s="33" t="s">
        <v>156</v>
      </c>
      <c r="B80" s="33" t="s">
        <v>719</v>
      </c>
      <c r="C80" s="34" t="s">
        <v>720</v>
      </c>
      <c r="D80" s="33" t="s">
        <v>721</v>
      </c>
      <c r="E80" s="8">
        <v>4.0</v>
      </c>
      <c r="F80" s="9" t="s">
        <v>722</v>
      </c>
      <c r="G80" s="22" t="s">
        <v>67</v>
      </c>
      <c r="H80" s="8" t="s">
        <v>723</v>
      </c>
      <c r="I80" s="8">
        <v>2025.0</v>
      </c>
      <c r="J80" s="16"/>
      <c r="K80" s="17" t="s">
        <v>724</v>
      </c>
      <c r="L80" s="17" t="s">
        <v>725</v>
      </c>
      <c r="M80" s="17" t="s">
        <v>726</v>
      </c>
      <c r="N80" s="17" t="s">
        <v>727</v>
      </c>
      <c r="O80" s="17" t="s">
        <v>728</v>
      </c>
    </row>
    <row r="81" ht="75.0" customHeight="1">
      <c r="A81" s="33" t="s">
        <v>156</v>
      </c>
      <c r="B81" s="33" t="s">
        <v>719</v>
      </c>
      <c r="C81" s="34" t="s">
        <v>729</v>
      </c>
      <c r="D81" s="33" t="s">
        <v>730</v>
      </c>
      <c r="E81" s="8">
        <v>4.0</v>
      </c>
      <c r="F81" s="9" t="s">
        <v>731</v>
      </c>
      <c r="G81" s="22" t="s">
        <v>67</v>
      </c>
      <c r="H81" s="8" t="s">
        <v>732</v>
      </c>
      <c r="I81" s="8">
        <v>2025.0</v>
      </c>
      <c r="J81" s="16"/>
      <c r="K81" s="17" t="s">
        <v>733</v>
      </c>
      <c r="L81" s="17" t="s">
        <v>734</v>
      </c>
      <c r="M81" s="17" t="s">
        <v>735</v>
      </c>
      <c r="N81" s="17" t="s">
        <v>736</v>
      </c>
      <c r="O81" s="17" t="s">
        <v>737</v>
      </c>
    </row>
    <row r="82" ht="75.0" customHeight="1">
      <c r="A82" s="33" t="s">
        <v>156</v>
      </c>
      <c r="B82" s="33" t="s">
        <v>719</v>
      </c>
      <c r="C82" s="34" t="s">
        <v>738</v>
      </c>
      <c r="D82" s="33" t="s">
        <v>739</v>
      </c>
      <c r="E82" s="8">
        <v>3.0</v>
      </c>
      <c r="F82" s="9" t="s">
        <v>740</v>
      </c>
      <c r="G82" s="22" t="s">
        <v>67</v>
      </c>
      <c r="H82" s="8" t="s">
        <v>741</v>
      </c>
      <c r="I82" s="8">
        <v>2025.0</v>
      </c>
      <c r="J82" s="16"/>
      <c r="K82" s="17" t="s">
        <v>742</v>
      </c>
      <c r="L82" s="17" t="s">
        <v>743</v>
      </c>
      <c r="M82" s="17" t="s">
        <v>744</v>
      </c>
      <c r="N82" s="17" t="s">
        <v>745</v>
      </c>
      <c r="O82" s="17" t="s">
        <v>746</v>
      </c>
    </row>
    <row r="83" ht="75.0" customHeight="1">
      <c r="A83" s="33" t="s">
        <v>156</v>
      </c>
      <c r="B83" s="33" t="s">
        <v>719</v>
      </c>
      <c r="C83" s="34" t="s">
        <v>747</v>
      </c>
      <c r="D83" s="33" t="s">
        <v>748</v>
      </c>
      <c r="E83" s="8">
        <v>3.0</v>
      </c>
      <c r="F83" s="9" t="s">
        <v>749</v>
      </c>
      <c r="G83" s="22" t="s">
        <v>67</v>
      </c>
      <c r="H83" s="8" t="s">
        <v>750</v>
      </c>
      <c r="I83" s="8">
        <v>2025.0</v>
      </c>
      <c r="J83" s="16"/>
      <c r="K83" s="17" t="s">
        <v>751</v>
      </c>
      <c r="L83" s="17" t="s">
        <v>752</v>
      </c>
      <c r="M83" s="17" t="s">
        <v>753</v>
      </c>
      <c r="N83" s="17" t="s">
        <v>754</v>
      </c>
      <c r="O83" s="17" t="s">
        <v>755</v>
      </c>
    </row>
    <row r="84" ht="75.0" customHeight="1">
      <c r="A84" s="33" t="s">
        <v>156</v>
      </c>
      <c r="B84" s="33" t="s">
        <v>756</v>
      </c>
      <c r="C84" s="34" t="s">
        <v>757</v>
      </c>
      <c r="D84" s="33" t="s">
        <v>758</v>
      </c>
      <c r="E84" s="8">
        <v>2.0</v>
      </c>
      <c r="F84" s="9" t="s">
        <v>759</v>
      </c>
      <c r="G84" s="9" t="s">
        <v>760</v>
      </c>
      <c r="H84" s="8" t="s">
        <v>58</v>
      </c>
      <c r="I84" s="8">
        <v>2025.0</v>
      </c>
      <c r="J84" s="16"/>
      <c r="K84" s="17" t="s">
        <v>761</v>
      </c>
      <c r="L84" s="17" t="s">
        <v>762</v>
      </c>
      <c r="M84" s="17" t="s">
        <v>763</v>
      </c>
      <c r="N84" s="17" t="s">
        <v>764</v>
      </c>
      <c r="O84" s="17" t="s">
        <v>765</v>
      </c>
    </row>
    <row r="85" ht="75.0" customHeight="1">
      <c r="A85" s="33" t="s">
        <v>156</v>
      </c>
      <c r="B85" s="33" t="s">
        <v>756</v>
      </c>
      <c r="C85" s="34" t="s">
        <v>766</v>
      </c>
      <c r="D85" s="33" t="s">
        <v>767</v>
      </c>
      <c r="E85" s="8">
        <v>2.0</v>
      </c>
      <c r="F85" s="9" t="s">
        <v>768</v>
      </c>
      <c r="G85" s="22" t="s">
        <v>67</v>
      </c>
      <c r="H85" s="8" t="s">
        <v>769</v>
      </c>
      <c r="I85" s="8">
        <v>2025.0</v>
      </c>
      <c r="J85" s="16"/>
      <c r="K85" s="17" t="s">
        <v>770</v>
      </c>
      <c r="L85" s="17" t="s">
        <v>771</v>
      </c>
      <c r="M85" s="17" t="s">
        <v>772</v>
      </c>
      <c r="N85" s="17" t="s">
        <v>773</v>
      </c>
      <c r="O85" s="17" t="s">
        <v>774</v>
      </c>
    </row>
    <row r="86" ht="75.0" customHeight="1">
      <c r="A86" s="33" t="s">
        <v>156</v>
      </c>
      <c r="B86" s="33" t="s">
        <v>756</v>
      </c>
      <c r="C86" s="34" t="s">
        <v>775</v>
      </c>
      <c r="D86" s="33" t="s">
        <v>776</v>
      </c>
      <c r="E86" s="8">
        <v>3.0</v>
      </c>
      <c r="F86" s="9" t="s">
        <v>777</v>
      </c>
      <c r="G86" s="9" t="s">
        <v>402</v>
      </c>
      <c r="H86" s="8" t="s">
        <v>449</v>
      </c>
      <c r="I86" s="8">
        <v>2025.0</v>
      </c>
      <c r="J86" s="16"/>
      <c r="K86" s="17" t="s">
        <v>778</v>
      </c>
      <c r="L86" s="17" t="s">
        <v>779</v>
      </c>
      <c r="M86" s="17" t="s">
        <v>780</v>
      </c>
      <c r="N86" s="17" t="s">
        <v>781</v>
      </c>
      <c r="O86" s="17" t="s">
        <v>782</v>
      </c>
    </row>
    <row r="87" ht="75.0" customHeight="1">
      <c r="A87" s="33" t="s">
        <v>156</v>
      </c>
      <c r="B87" s="33" t="s">
        <v>756</v>
      </c>
      <c r="C87" s="34" t="s">
        <v>783</v>
      </c>
      <c r="D87" s="33" t="s">
        <v>784</v>
      </c>
      <c r="E87" s="8">
        <v>3.0</v>
      </c>
      <c r="F87" s="9" t="s">
        <v>785</v>
      </c>
      <c r="G87" s="9" t="s">
        <v>402</v>
      </c>
      <c r="H87" s="8" t="s">
        <v>713</v>
      </c>
      <c r="I87" s="8">
        <v>2025.0</v>
      </c>
      <c r="J87" s="16"/>
      <c r="K87" s="17" t="s">
        <v>786</v>
      </c>
      <c r="L87" s="17" t="s">
        <v>787</v>
      </c>
      <c r="M87" s="17" t="s">
        <v>788</v>
      </c>
      <c r="N87" s="17" t="s">
        <v>789</v>
      </c>
      <c r="O87" s="17" t="s">
        <v>790</v>
      </c>
    </row>
    <row r="88" ht="75.0" customHeight="1">
      <c r="A88" s="33" t="s">
        <v>156</v>
      </c>
      <c r="B88" s="33" t="s">
        <v>756</v>
      </c>
      <c r="C88" s="34" t="s">
        <v>791</v>
      </c>
      <c r="D88" s="33" t="s">
        <v>792</v>
      </c>
      <c r="E88" s="8">
        <v>4.0</v>
      </c>
      <c r="F88" s="9" t="s">
        <v>793</v>
      </c>
      <c r="G88" s="9" t="s">
        <v>794</v>
      </c>
      <c r="H88" s="8" t="s">
        <v>521</v>
      </c>
      <c r="I88" s="8">
        <v>2025.0</v>
      </c>
      <c r="J88" s="16"/>
      <c r="K88" s="17" t="s">
        <v>795</v>
      </c>
      <c r="L88" s="17" t="s">
        <v>796</v>
      </c>
      <c r="M88" s="17" t="s">
        <v>797</v>
      </c>
      <c r="N88" s="17" t="s">
        <v>798</v>
      </c>
      <c r="O88" s="17" t="s">
        <v>799</v>
      </c>
    </row>
    <row r="89" ht="75.0" customHeight="1">
      <c r="A89" s="33" t="s">
        <v>156</v>
      </c>
      <c r="B89" s="33" t="s">
        <v>756</v>
      </c>
      <c r="C89" s="34" t="s">
        <v>800</v>
      </c>
      <c r="D89" s="33" t="s">
        <v>801</v>
      </c>
      <c r="E89" s="8">
        <v>3.0</v>
      </c>
      <c r="F89" s="9" t="s">
        <v>802</v>
      </c>
      <c r="G89" s="9" t="s">
        <v>129</v>
      </c>
      <c r="H89" s="8" t="s">
        <v>803</v>
      </c>
      <c r="I89" s="8">
        <v>2025.0</v>
      </c>
      <c r="J89" s="16"/>
      <c r="K89" s="17" t="s">
        <v>804</v>
      </c>
      <c r="L89" s="17" t="s">
        <v>805</v>
      </c>
      <c r="M89" s="17" t="s">
        <v>806</v>
      </c>
      <c r="N89" s="17" t="s">
        <v>807</v>
      </c>
      <c r="O89" s="17" t="s">
        <v>808</v>
      </c>
    </row>
    <row r="90" ht="75.0" customHeight="1">
      <c r="A90" s="33" t="s">
        <v>156</v>
      </c>
      <c r="B90" s="33" t="s">
        <v>809</v>
      </c>
      <c r="C90" s="34" t="s">
        <v>810</v>
      </c>
      <c r="D90" s="33" t="s">
        <v>811</v>
      </c>
      <c r="E90" s="8">
        <v>3.0</v>
      </c>
      <c r="F90" s="9" t="s">
        <v>812</v>
      </c>
      <c r="G90" s="22" t="s">
        <v>67</v>
      </c>
      <c r="H90" s="8" t="s">
        <v>813</v>
      </c>
      <c r="I90" s="8">
        <v>2025.0</v>
      </c>
      <c r="J90" s="16"/>
      <c r="K90" s="17" t="s">
        <v>814</v>
      </c>
      <c r="L90" s="17" t="s">
        <v>815</v>
      </c>
      <c r="M90" s="17" t="s">
        <v>816</v>
      </c>
      <c r="N90" s="17" t="s">
        <v>817</v>
      </c>
      <c r="O90" s="17" t="s">
        <v>818</v>
      </c>
    </row>
    <row r="91" ht="75.0" customHeight="1">
      <c r="A91" s="33" t="s">
        <v>156</v>
      </c>
      <c r="B91" s="33" t="s">
        <v>809</v>
      </c>
      <c r="C91" s="34" t="s">
        <v>819</v>
      </c>
      <c r="D91" s="33" t="s">
        <v>820</v>
      </c>
      <c r="E91" s="8" t="s">
        <v>51</v>
      </c>
      <c r="F91" s="9" t="s">
        <v>52</v>
      </c>
      <c r="G91" s="16"/>
      <c r="H91" s="15"/>
      <c r="I91" s="15"/>
      <c r="J91" s="16"/>
      <c r="K91" s="17" t="s">
        <v>821</v>
      </c>
      <c r="L91" s="17" t="s">
        <v>822</v>
      </c>
      <c r="M91" s="17" t="s">
        <v>823</v>
      </c>
      <c r="N91" s="17" t="s">
        <v>824</v>
      </c>
      <c r="O91" s="17" t="s">
        <v>825</v>
      </c>
    </row>
    <row r="92" ht="75.0" customHeight="1">
      <c r="A92" s="33" t="s">
        <v>156</v>
      </c>
      <c r="B92" s="33" t="s">
        <v>809</v>
      </c>
      <c r="C92" s="34" t="s">
        <v>826</v>
      </c>
      <c r="D92" s="33" t="s">
        <v>827</v>
      </c>
      <c r="E92" s="8">
        <v>2.0</v>
      </c>
      <c r="F92" s="9" t="s">
        <v>828</v>
      </c>
      <c r="G92" s="22" t="s">
        <v>67</v>
      </c>
      <c r="H92" s="8" t="s">
        <v>102</v>
      </c>
      <c r="I92" s="8">
        <v>2025.0</v>
      </c>
      <c r="J92" s="16"/>
      <c r="K92" s="17" t="s">
        <v>829</v>
      </c>
      <c r="L92" s="17" t="s">
        <v>830</v>
      </c>
      <c r="M92" s="17" t="s">
        <v>831</v>
      </c>
      <c r="N92" s="17" t="s">
        <v>832</v>
      </c>
      <c r="O92" s="17" t="s">
        <v>833</v>
      </c>
    </row>
    <row r="93" ht="75.0" customHeight="1">
      <c r="A93" s="33" t="s">
        <v>156</v>
      </c>
      <c r="B93" s="33" t="s">
        <v>809</v>
      </c>
      <c r="C93" s="34" t="s">
        <v>834</v>
      </c>
      <c r="D93" s="33" t="s">
        <v>835</v>
      </c>
      <c r="E93" s="8" t="s">
        <v>51</v>
      </c>
      <c r="F93" s="9" t="s">
        <v>52</v>
      </c>
      <c r="G93" s="16"/>
      <c r="H93" s="15"/>
      <c r="I93" s="15"/>
      <c r="J93" s="16"/>
      <c r="K93" s="17" t="s">
        <v>836</v>
      </c>
      <c r="L93" s="17" t="s">
        <v>837</v>
      </c>
      <c r="M93" s="17" t="s">
        <v>838</v>
      </c>
      <c r="N93" s="17" t="s">
        <v>839</v>
      </c>
      <c r="O93" s="17" t="s">
        <v>840</v>
      </c>
    </row>
    <row r="94" ht="75.0" customHeight="1">
      <c r="A94" s="33" t="s">
        <v>156</v>
      </c>
      <c r="B94" s="33" t="s">
        <v>841</v>
      </c>
      <c r="C94" s="34" t="s">
        <v>842</v>
      </c>
      <c r="D94" s="33" t="s">
        <v>843</v>
      </c>
      <c r="E94" s="8">
        <v>2.0</v>
      </c>
      <c r="F94" s="9" t="s">
        <v>844</v>
      </c>
      <c r="G94" s="22" t="s">
        <v>67</v>
      </c>
      <c r="H94" s="8" t="s">
        <v>422</v>
      </c>
      <c r="I94" s="8">
        <v>2025.0</v>
      </c>
      <c r="J94" s="16"/>
      <c r="K94" s="17" t="s">
        <v>845</v>
      </c>
      <c r="L94" s="17" t="s">
        <v>846</v>
      </c>
      <c r="M94" s="17" t="s">
        <v>847</v>
      </c>
      <c r="N94" s="17" t="s">
        <v>848</v>
      </c>
      <c r="O94" s="17" t="s">
        <v>849</v>
      </c>
    </row>
    <row r="95" ht="75.0" customHeight="1">
      <c r="A95" s="33" t="s">
        <v>156</v>
      </c>
      <c r="B95" s="33" t="s">
        <v>841</v>
      </c>
      <c r="C95" s="34" t="s">
        <v>850</v>
      </c>
      <c r="D95" s="33" t="s">
        <v>851</v>
      </c>
      <c r="E95" s="8" t="s">
        <v>51</v>
      </c>
      <c r="F95" s="9" t="s">
        <v>52</v>
      </c>
      <c r="G95" s="16"/>
      <c r="H95" s="15"/>
      <c r="I95" s="15"/>
      <c r="J95" s="16"/>
      <c r="K95" s="17" t="s">
        <v>852</v>
      </c>
      <c r="L95" s="17" t="s">
        <v>853</v>
      </c>
      <c r="M95" s="17" t="s">
        <v>854</v>
      </c>
      <c r="N95" s="17" t="s">
        <v>855</v>
      </c>
      <c r="O95" s="17" t="s">
        <v>856</v>
      </c>
    </row>
    <row r="96" ht="75.0" customHeight="1">
      <c r="A96" s="33" t="s">
        <v>156</v>
      </c>
      <c r="B96" s="33" t="s">
        <v>841</v>
      </c>
      <c r="C96" s="34" t="s">
        <v>857</v>
      </c>
      <c r="D96" s="33" t="s">
        <v>858</v>
      </c>
      <c r="E96" s="8">
        <v>2.0</v>
      </c>
      <c r="F96" s="9" t="s">
        <v>859</v>
      </c>
      <c r="G96" s="22" t="s">
        <v>67</v>
      </c>
      <c r="H96" s="8" t="s">
        <v>860</v>
      </c>
      <c r="I96" s="8">
        <v>2025.0</v>
      </c>
      <c r="J96" s="16"/>
      <c r="K96" s="17" t="s">
        <v>861</v>
      </c>
      <c r="L96" s="17" t="s">
        <v>862</v>
      </c>
      <c r="M96" s="17" t="s">
        <v>863</v>
      </c>
      <c r="N96" s="17" t="s">
        <v>864</v>
      </c>
      <c r="O96" s="17" t="s">
        <v>865</v>
      </c>
    </row>
    <row r="97" ht="75.0" customHeight="1">
      <c r="A97" s="33" t="s">
        <v>156</v>
      </c>
      <c r="B97" s="33" t="s">
        <v>841</v>
      </c>
      <c r="C97" s="34" t="s">
        <v>866</v>
      </c>
      <c r="D97" s="33" t="s">
        <v>867</v>
      </c>
      <c r="E97" s="8">
        <v>3.0</v>
      </c>
      <c r="F97" s="9" t="s">
        <v>868</v>
      </c>
      <c r="G97" s="22" t="s">
        <v>67</v>
      </c>
      <c r="H97" s="8" t="s">
        <v>77</v>
      </c>
      <c r="I97" s="8">
        <v>2025.0</v>
      </c>
      <c r="J97" s="16"/>
      <c r="K97" s="17" t="s">
        <v>869</v>
      </c>
      <c r="L97" s="17" t="s">
        <v>870</v>
      </c>
      <c r="M97" s="17" t="s">
        <v>871</v>
      </c>
      <c r="N97" s="17" t="s">
        <v>872</v>
      </c>
      <c r="O97" s="17" t="s">
        <v>873</v>
      </c>
    </row>
    <row r="98" ht="75.0" customHeight="1">
      <c r="A98" s="33" t="s">
        <v>156</v>
      </c>
      <c r="B98" s="33" t="s">
        <v>841</v>
      </c>
      <c r="C98" s="34" t="s">
        <v>874</v>
      </c>
      <c r="D98" s="33" t="s">
        <v>875</v>
      </c>
      <c r="E98" s="8">
        <v>2.0</v>
      </c>
      <c r="F98" s="9" t="s">
        <v>876</v>
      </c>
      <c r="G98" s="9" t="s">
        <v>877</v>
      </c>
      <c r="H98" s="8" t="s">
        <v>58</v>
      </c>
      <c r="I98" s="8">
        <v>2025.0</v>
      </c>
      <c r="J98" s="16"/>
      <c r="K98" s="17" t="s">
        <v>878</v>
      </c>
      <c r="L98" s="17" t="s">
        <v>879</v>
      </c>
      <c r="M98" s="17" t="s">
        <v>880</v>
      </c>
      <c r="N98" s="17" t="s">
        <v>881</v>
      </c>
      <c r="O98" s="17" t="s">
        <v>882</v>
      </c>
    </row>
    <row r="99" ht="75.0" customHeight="1">
      <c r="A99" s="33" t="s">
        <v>156</v>
      </c>
      <c r="B99" s="33" t="s">
        <v>841</v>
      </c>
      <c r="C99" s="34" t="s">
        <v>883</v>
      </c>
      <c r="D99" s="33" t="s">
        <v>884</v>
      </c>
      <c r="E99" s="8" t="s">
        <v>51</v>
      </c>
      <c r="F99" s="9" t="s">
        <v>52</v>
      </c>
      <c r="G99" s="16"/>
      <c r="H99" s="15"/>
      <c r="I99" s="15"/>
      <c r="J99" s="16"/>
      <c r="K99" s="17" t="s">
        <v>885</v>
      </c>
      <c r="L99" s="17" t="s">
        <v>886</v>
      </c>
      <c r="M99" s="17" t="s">
        <v>887</v>
      </c>
      <c r="N99" s="17" t="s">
        <v>888</v>
      </c>
      <c r="O99" s="17" t="s">
        <v>889</v>
      </c>
    </row>
    <row r="100" ht="75.0" customHeight="1">
      <c r="A100" s="33" t="s">
        <v>156</v>
      </c>
      <c r="B100" s="33" t="s">
        <v>841</v>
      </c>
      <c r="C100" s="34" t="s">
        <v>890</v>
      </c>
      <c r="D100" s="33" t="s">
        <v>891</v>
      </c>
      <c r="E100" s="8">
        <v>2.0</v>
      </c>
      <c r="F100" s="9" t="s">
        <v>892</v>
      </c>
      <c r="G100" s="9" t="s">
        <v>893</v>
      </c>
      <c r="H100" s="8" t="s">
        <v>58</v>
      </c>
      <c r="I100" s="8">
        <v>2026.0</v>
      </c>
      <c r="J100" s="16"/>
      <c r="K100" s="17" t="s">
        <v>894</v>
      </c>
      <c r="L100" s="17" t="s">
        <v>895</v>
      </c>
      <c r="M100" s="17" t="s">
        <v>896</v>
      </c>
      <c r="N100" s="17" t="s">
        <v>897</v>
      </c>
      <c r="O100" s="17" t="s">
        <v>898</v>
      </c>
    </row>
    <row r="101" ht="75.0" customHeight="1">
      <c r="A101" s="33" t="s">
        <v>156</v>
      </c>
      <c r="B101" s="33" t="s">
        <v>841</v>
      </c>
      <c r="C101" s="34" t="s">
        <v>899</v>
      </c>
      <c r="D101" s="33" t="s">
        <v>900</v>
      </c>
      <c r="E101" s="8">
        <v>3.0</v>
      </c>
      <c r="F101" s="9" t="s">
        <v>901</v>
      </c>
      <c r="G101" s="22" t="s">
        <v>67</v>
      </c>
      <c r="H101" s="8" t="s">
        <v>102</v>
      </c>
      <c r="I101" s="8">
        <v>2025.0</v>
      </c>
      <c r="J101" s="16"/>
      <c r="K101" s="17" t="s">
        <v>902</v>
      </c>
      <c r="L101" s="17" t="s">
        <v>903</v>
      </c>
      <c r="M101" s="17" t="s">
        <v>904</v>
      </c>
      <c r="N101" s="17" t="s">
        <v>905</v>
      </c>
      <c r="O101" s="17" t="s">
        <v>906</v>
      </c>
    </row>
    <row r="102" ht="75.0" customHeight="1">
      <c r="A102" s="16" t="s">
        <v>174</v>
      </c>
      <c r="B102" s="16" t="s">
        <v>907</v>
      </c>
      <c r="C102" s="35" t="s">
        <v>908</v>
      </c>
      <c r="D102" s="16" t="s">
        <v>909</v>
      </c>
      <c r="E102" s="8">
        <v>3.0</v>
      </c>
      <c r="F102" s="9" t="s">
        <v>910</v>
      </c>
      <c r="G102" s="9" t="s">
        <v>911</v>
      </c>
      <c r="H102" s="8" t="s">
        <v>449</v>
      </c>
      <c r="I102" s="8">
        <v>2025.0</v>
      </c>
      <c r="J102" s="16"/>
      <c r="K102" s="17" t="s">
        <v>912</v>
      </c>
      <c r="L102" s="17" t="s">
        <v>913</v>
      </c>
      <c r="M102" s="17" t="s">
        <v>914</v>
      </c>
      <c r="N102" s="17" t="s">
        <v>915</v>
      </c>
      <c r="O102" s="17" t="s">
        <v>916</v>
      </c>
    </row>
    <row r="103" ht="75.0" customHeight="1">
      <c r="A103" s="16" t="s">
        <v>174</v>
      </c>
      <c r="B103" s="16" t="s">
        <v>907</v>
      </c>
      <c r="C103" s="35" t="s">
        <v>917</v>
      </c>
      <c r="D103" s="16" t="s">
        <v>918</v>
      </c>
      <c r="E103" s="8" t="s">
        <v>51</v>
      </c>
      <c r="F103" s="9" t="s">
        <v>52</v>
      </c>
      <c r="G103" s="16"/>
      <c r="H103" s="15"/>
      <c r="I103" s="15"/>
      <c r="J103" s="16"/>
      <c r="K103" s="17" t="s">
        <v>919</v>
      </c>
      <c r="L103" s="17" t="s">
        <v>920</v>
      </c>
      <c r="M103" s="17" t="s">
        <v>921</v>
      </c>
      <c r="N103" s="17" t="s">
        <v>922</v>
      </c>
      <c r="O103" s="17" t="s">
        <v>923</v>
      </c>
    </row>
    <row r="104" ht="75.0" customHeight="1">
      <c r="A104" s="16" t="s">
        <v>174</v>
      </c>
      <c r="B104" s="16" t="s">
        <v>907</v>
      </c>
      <c r="C104" s="35" t="s">
        <v>924</v>
      </c>
      <c r="D104" s="16" t="s">
        <v>925</v>
      </c>
      <c r="E104" s="8">
        <v>3.0</v>
      </c>
      <c r="F104" s="9" t="s">
        <v>926</v>
      </c>
      <c r="G104" s="9" t="s">
        <v>911</v>
      </c>
      <c r="H104" s="8" t="s">
        <v>449</v>
      </c>
      <c r="I104" s="8">
        <v>2025.0</v>
      </c>
      <c r="J104" s="16"/>
      <c r="K104" s="17" t="s">
        <v>927</v>
      </c>
      <c r="L104" s="17" t="s">
        <v>928</v>
      </c>
      <c r="M104" s="17" t="s">
        <v>929</v>
      </c>
      <c r="N104" s="17" t="s">
        <v>930</v>
      </c>
      <c r="O104" s="17" t="s">
        <v>931</v>
      </c>
    </row>
    <row r="105" ht="75.0" customHeight="1">
      <c r="A105" s="16" t="s">
        <v>174</v>
      </c>
      <c r="B105" s="16" t="s">
        <v>907</v>
      </c>
      <c r="C105" s="35" t="s">
        <v>932</v>
      </c>
      <c r="D105" s="16" t="s">
        <v>933</v>
      </c>
      <c r="E105" s="8" t="s">
        <v>51</v>
      </c>
      <c r="F105" s="9" t="s">
        <v>52</v>
      </c>
      <c r="G105" s="16"/>
      <c r="H105" s="15"/>
      <c r="I105" s="15"/>
      <c r="J105" s="16"/>
      <c r="K105" s="17" t="s">
        <v>934</v>
      </c>
      <c r="L105" s="17" t="s">
        <v>935</v>
      </c>
      <c r="M105" s="17" t="s">
        <v>936</v>
      </c>
      <c r="N105" s="17" t="s">
        <v>937</v>
      </c>
      <c r="O105" s="17" t="s">
        <v>938</v>
      </c>
    </row>
    <row r="106" ht="75.0" customHeight="1">
      <c r="A106" s="16" t="s">
        <v>174</v>
      </c>
      <c r="B106" s="16" t="s">
        <v>907</v>
      </c>
      <c r="C106" s="35" t="s">
        <v>939</v>
      </c>
      <c r="D106" s="16" t="s">
        <v>940</v>
      </c>
      <c r="E106" s="8">
        <v>3.0</v>
      </c>
      <c r="F106" s="9" t="s">
        <v>941</v>
      </c>
      <c r="G106" s="9" t="s">
        <v>476</v>
      </c>
      <c r="H106" s="8" t="s">
        <v>942</v>
      </c>
      <c r="I106" s="8">
        <v>2026.0</v>
      </c>
      <c r="J106" s="16"/>
      <c r="K106" s="17" t="s">
        <v>943</v>
      </c>
      <c r="L106" s="17" t="s">
        <v>944</v>
      </c>
      <c r="M106" s="17" t="s">
        <v>945</v>
      </c>
      <c r="N106" s="17" t="s">
        <v>946</v>
      </c>
      <c r="O106" s="17" t="s">
        <v>947</v>
      </c>
    </row>
    <row r="107" ht="75.0" customHeight="1">
      <c r="A107" s="16" t="s">
        <v>174</v>
      </c>
      <c r="B107" s="16" t="s">
        <v>907</v>
      </c>
      <c r="C107" s="35" t="s">
        <v>948</v>
      </c>
      <c r="D107" s="16" t="s">
        <v>949</v>
      </c>
      <c r="E107" s="8">
        <v>3.0</v>
      </c>
      <c r="F107" s="9" t="s">
        <v>950</v>
      </c>
      <c r="G107" s="22" t="s">
        <v>67</v>
      </c>
      <c r="H107" s="8" t="s">
        <v>951</v>
      </c>
      <c r="I107" s="8">
        <v>2025.0</v>
      </c>
      <c r="J107" s="16"/>
      <c r="K107" s="17" t="s">
        <v>952</v>
      </c>
      <c r="L107" s="17" t="s">
        <v>953</v>
      </c>
      <c r="M107" s="17" t="s">
        <v>954</v>
      </c>
      <c r="N107" s="17" t="s">
        <v>955</v>
      </c>
      <c r="O107" s="17" t="s">
        <v>956</v>
      </c>
    </row>
    <row r="108" ht="75.0" customHeight="1">
      <c r="A108" s="16" t="s">
        <v>174</v>
      </c>
      <c r="B108" s="16" t="s">
        <v>957</v>
      </c>
      <c r="C108" s="35" t="s">
        <v>958</v>
      </c>
      <c r="D108" s="16" t="s">
        <v>959</v>
      </c>
      <c r="E108" s="8">
        <v>3.0</v>
      </c>
      <c r="F108" s="9" t="s">
        <v>960</v>
      </c>
      <c r="G108" s="22" t="s">
        <v>67</v>
      </c>
      <c r="H108" s="8" t="s">
        <v>961</v>
      </c>
      <c r="I108" s="8">
        <v>2025.0</v>
      </c>
      <c r="J108" s="16"/>
      <c r="K108" s="17" t="s">
        <v>962</v>
      </c>
      <c r="L108" s="17" t="s">
        <v>963</v>
      </c>
      <c r="M108" s="17" t="s">
        <v>964</v>
      </c>
      <c r="N108" s="17" t="s">
        <v>965</v>
      </c>
      <c r="O108" s="17" t="s">
        <v>966</v>
      </c>
    </row>
    <row r="109" ht="75.0" customHeight="1">
      <c r="A109" s="16" t="s">
        <v>174</v>
      </c>
      <c r="B109" s="16" t="s">
        <v>957</v>
      </c>
      <c r="C109" s="35" t="s">
        <v>967</v>
      </c>
      <c r="D109" s="16" t="s">
        <v>968</v>
      </c>
      <c r="E109" s="8">
        <v>2.0</v>
      </c>
      <c r="F109" s="9" t="s">
        <v>969</v>
      </c>
      <c r="G109" s="22" t="s">
        <v>67</v>
      </c>
      <c r="H109" s="8" t="s">
        <v>970</v>
      </c>
      <c r="I109" s="8">
        <v>2025.0</v>
      </c>
      <c r="J109" s="16"/>
      <c r="K109" s="17" t="s">
        <v>971</v>
      </c>
      <c r="L109" s="17" t="s">
        <v>972</v>
      </c>
      <c r="M109" s="17" t="s">
        <v>973</v>
      </c>
      <c r="N109" s="17" t="s">
        <v>974</v>
      </c>
      <c r="O109" s="17" t="s">
        <v>975</v>
      </c>
    </row>
    <row r="110" ht="75.0" customHeight="1">
      <c r="A110" s="16" t="s">
        <v>174</v>
      </c>
      <c r="B110" s="16" t="s">
        <v>957</v>
      </c>
      <c r="C110" s="35" t="s">
        <v>976</v>
      </c>
      <c r="D110" s="16" t="s">
        <v>977</v>
      </c>
      <c r="E110" s="8">
        <v>3.0</v>
      </c>
      <c r="F110" s="9" t="s">
        <v>978</v>
      </c>
      <c r="G110" s="22" t="s">
        <v>67</v>
      </c>
      <c r="H110" s="8" t="s">
        <v>979</v>
      </c>
      <c r="I110" s="8">
        <v>2025.0</v>
      </c>
      <c r="J110" s="16"/>
      <c r="K110" s="17" t="s">
        <v>980</v>
      </c>
      <c r="L110" s="17" t="s">
        <v>981</v>
      </c>
      <c r="M110" s="17" t="s">
        <v>982</v>
      </c>
      <c r="N110" s="17" t="s">
        <v>983</v>
      </c>
      <c r="O110" s="17" t="s">
        <v>984</v>
      </c>
    </row>
    <row r="111" ht="75.0" customHeight="1">
      <c r="A111" s="16" t="s">
        <v>174</v>
      </c>
      <c r="B111" s="16" t="s">
        <v>957</v>
      </c>
      <c r="C111" s="35" t="s">
        <v>985</v>
      </c>
      <c r="D111" s="16" t="s">
        <v>986</v>
      </c>
      <c r="E111" s="8">
        <v>2.0</v>
      </c>
      <c r="F111" s="9" t="s">
        <v>987</v>
      </c>
      <c r="G111" s="22" t="s">
        <v>67</v>
      </c>
      <c r="H111" s="8" t="s">
        <v>769</v>
      </c>
      <c r="I111" s="8">
        <v>2025.0</v>
      </c>
      <c r="J111" s="16"/>
      <c r="K111" s="17" t="s">
        <v>988</v>
      </c>
      <c r="L111" s="17" t="s">
        <v>989</v>
      </c>
      <c r="M111" s="17" t="s">
        <v>990</v>
      </c>
      <c r="N111" s="17" t="s">
        <v>991</v>
      </c>
      <c r="O111" s="17" t="s">
        <v>992</v>
      </c>
    </row>
    <row r="112" ht="75.0" customHeight="1">
      <c r="A112" s="16" t="s">
        <v>174</v>
      </c>
      <c r="B112" s="16" t="s">
        <v>957</v>
      </c>
      <c r="C112" s="35" t="s">
        <v>993</v>
      </c>
      <c r="D112" s="16" t="s">
        <v>994</v>
      </c>
      <c r="E112" s="8">
        <v>2.0</v>
      </c>
      <c r="F112" s="9" t="s">
        <v>995</v>
      </c>
      <c r="G112" s="9" t="s">
        <v>996</v>
      </c>
      <c r="H112" s="8" t="s">
        <v>58</v>
      </c>
      <c r="I112" s="8">
        <v>2025.0</v>
      </c>
      <c r="J112" s="16"/>
      <c r="K112" s="17" t="s">
        <v>997</v>
      </c>
      <c r="L112" s="17" t="s">
        <v>998</v>
      </c>
      <c r="M112" s="17" t="s">
        <v>999</v>
      </c>
      <c r="N112" s="17" t="s">
        <v>1000</v>
      </c>
      <c r="O112" s="17" t="s">
        <v>1001</v>
      </c>
    </row>
    <row r="113" ht="75.0" customHeight="1">
      <c r="A113" s="16" t="s">
        <v>174</v>
      </c>
      <c r="B113" s="16" t="s">
        <v>957</v>
      </c>
      <c r="C113" s="35" t="s">
        <v>1002</v>
      </c>
      <c r="D113" s="16" t="s">
        <v>1003</v>
      </c>
      <c r="E113" s="8">
        <v>4.0</v>
      </c>
      <c r="F113" s="9" t="s">
        <v>1004</v>
      </c>
      <c r="G113" s="22" t="s">
        <v>67</v>
      </c>
      <c r="H113" s="8" t="s">
        <v>1005</v>
      </c>
      <c r="I113" s="8">
        <v>2025.0</v>
      </c>
      <c r="J113" s="16"/>
      <c r="K113" s="17" t="s">
        <v>1006</v>
      </c>
      <c r="L113" s="17" t="s">
        <v>1007</v>
      </c>
      <c r="M113" s="17" t="s">
        <v>1008</v>
      </c>
      <c r="N113" s="17" t="s">
        <v>1009</v>
      </c>
      <c r="O113" s="17" t="s">
        <v>1010</v>
      </c>
    </row>
    <row r="114" ht="75.0" customHeight="1">
      <c r="A114" s="16" t="s">
        <v>174</v>
      </c>
      <c r="B114" s="16" t="s">
        <v>957</v>
      </c>
      <c r="C114" s="35" t="s">
        <v>1011</v>
      </c>
      <c r="D114" s="16" t="s">
        <v>1012</v>
      </c>
      <c r="E114" s="8">
        <v>4.0</v>
      </c>
      <c r="F114" s="9" t="s">
        <v>1013</v>
      </c>
      <c r="G114" s="22" t="s">
        <v>67</v>
      </c>
      <c r="H114" s="8" t="s">
        <v>1005</v>
      </c>
      <c r="I114" s="8">
        <v>2025.0</v>
      </c>
      <c r="J114" s="16"/>
      <c r="K114" s="17" t="s">
        <v>1014</v>
      </c>
      <c r="L114" s="17" t="s">
        <v>1015</v>
      </c>
      <c r="M114" s="17" t="s">
        <v>1016</v>
      </c>
      <c r="N114" s="17" t="s">
        <v>1017</v>
      </c>
      <c r="O114" s="17" t="s">
        <v>1018</v>
      </c>
    </row>
    <row r="115" ht="75.0" customHeight="1">
      <c r="A115" s="16" t="s">
        <v>174</v>
      </c>
      <c r="B115" s="16" t="s">
        <v>957</v>
      </c>
      <c r="C115" s="35" t="s">
        <v>1019</v>
      </c>
      <c r="D115" s="16" t="s">
        <v>1020</v>
      </c>
      <c r="E115" s="8">
        <v>3.0</v>
      </c>
      <c r="F115" s="9" t="s">
        <v>1021</v>
      </c>
      <c r="G115" s="22" t="s">
        <v>67</v>
      </c>
      <c r="H115" s="8" t="s">
        <v>182</v>
      </c>
      <c r="I115" s="8">
        <v>2025.0</v>
      </c>
      <c r="J115" s="16"/>
      <c r="K115" s="17" t="s">
        <v>1022</v>
      </c>
      <c r="L115" s="17" t="s">
        <v>1023</v>
      </c>
      <c r="M115" s="17" t="s">
        <v>1024</v>
      </c>
      <c r="N115" s="17" t="s">
        <v>1025</v>
      </c>
      <c r="O115" s="17" t="s">
        <v>1026</v>
      </c>
    </row>
    <row r="116" ht="75.0" customHeight="1">
      <c r="A116" s="16" t="s">
        <v>174</v>
      </c>
      <c r="B116" s="16" t="s">
        <v>1027</v>
      </c>
      <c r="C116" s="35" t="s">
        <v>1028</v>
      </c>
      <c r="D116" s="16" t="s">
        <v>1029</v>
      </c>
      <c r="E116" s="8">
        <v>3.0</v>
      </c>
      <c r="F116" s="9" t="s">
        <v>1030</v>
      </c>
      <c r="G116" s="22" t="s">
        <v>67</v>
      </c>
      <c r="H116" s="8" t="s">
        <v>769</v>
      </c>
      <c r="I116" s="8">
        <v>2025.0</v>
      </c>
      <c r="J116" s="16"/>
      <c r="K116" s="17" t="s">
        <v>1031</v>
      </c>
      <c r="L116" s="17" t="s">
        <v>1032</v>
      </c>
      <c r="M116" s="17" t="s">
        <v>1033</v>
      </c>
      <c r="N116" s="17" t="s">
        <v>1034</v>
      </c>
      <c r="O116" s="17" t="s">
        <v>1035</v>
      </c>
    </row>
    <row r="117" ht="75.0" customHeight="1">
      <c r="A117" s="16" t="s">
        <v>174</v>
      </c>
      <c r="B117" s="16" t="s">
        <v>1027</v>
      </c>
      <c r="C117" s="35" t="s">
        <v>1036</v>
      </c>
      <c r="D117" s="16" t="s">
        <v>1037</v>
      </c>
      <c r="E117" s="8">
        <v>4.0</v>
      </c>
      <c r="F117" s="9" t="s">
        <v>1038</v>
      </c>
      <c r="G117" s="22" t="s">
        <v>67</v>
      </c>
      <c r="H117" s="8" t="s">
        <v>1039</v>
      </c>
      <c r="I117" s="8">
        <v>2025.0</v>
      </c>
      <c r="J117" s="16"/>
      <c r="K117" s="17" t="s">
        <v>1040</v>
      </c>
      <c r="L117" s="17" t="s">
        <v>1041</v>
      </c>
      <c r="M117" s="17" t="s">
        <v>1042</v>
      </c>
      <c r="N117" s="17" t="s">
        <v>1043</v>
      </c>
      <c r="O117" s="17" t="s">
        <v>1044</v>
      </c>
    </row>
    <row r="118" ht="75.0" customHeight="1">
      <c r="A118" s="16" t="s">
        <v>174</v>
      </c>
      <c r="B118" s="16" t="s">
        <v>1027</v>
      </c>
      <c r="C118" s="35" t="s">
        <v>1045</v>
      </c>
      <c r="D118" s="16" t="s">
        <v>1046</v>
      </c>
      <c r="E118" s="8">
        <v>4.0</v>
      </c>
      <c r="F118" s="9" t="s">
        <v>1047</v>
      </c>
      <c r="G118" s="9" t="s">
        <v>1048</v>
      </c>
      <c r="H118" s="8" t="s">
        <v>449</v>
      </c>
      <c r="I118" s="8">
        <v>2026.0</v>
      </c>
      <c r="J118" s="16"/>
      <c r="K118" s="17" t="s">
        <v>1049</v>
      </c>
      <c r="L118" s="17" t="s">
        <v>1050</v>
      </c>
      <c r="M118" s="17" t="s">
        <v>1051</v>
      </c>
      <c r="N118" s="17" t="s">
        <v>1052</v>
      </c>
      <c r="O118" s="17" t="s">
        <v>1053</v>
      </c>
    </row>
    <row r="119" ht="75.0" customHeight="1">
      <c r="A119" s="16" t="s">
        <v>174</v>
      </c>
      <c r="B119" s="16" t="s">
        <v>1027</v>
      </c>
      <c r="C119" s="35" t="s">
        <v>1054</v>
      </c>
      <c r="D119" s="16" t="s">
        <v>1055</v>
      </c>
      <c r="E119" s="8">
        <v>3.0</v>
      </c>
      <c r="F119" s="9" t="s">
        <v>1056</v>
      </c>
      <c r="G119" s="9" t="s">
        <v>1048</v>
      </c>
      <c r="H119" s="8" t="s">
        <v>521</v>
      </c>
      <c r="I119" s="8">
        <v>2026.0</v>
      </c>
      <c r="J119" s="16"/>
      <c r="K119" s="17" t="s">
        <v>1057</v>
      </c>
      <c r="L119" s="17" t="s">
        <v>1058</v>
      </c>
      <c r="M119" s="17" t="s">
        <v>1059</v>
      </c>
      <c r="N119" s="17" t="s">
        <v>1060</v>
      </c>
      <c r="O119" s="17" t="s">
        <v>1061</v>
      </c>
    </row>
    <row r="120" ht="75.0" customHeight="1">
      <c r="A120" s="16" t="s">
        <v>174</v>
      </c>
      <c r="B120" s="16" t="s">
        <v>1027</v>
      </c>
      <c r="C120" s="35" t="s">
        <v>1062</v>
      </c>
      <c r="D120" s="16" t="s">
        <v>1063</v>
      </c>
      <c r="E120" s="8">
        <v>3.0</v>
      </c>
      <c r="F120" s="9" t="s">
        <v>1064</v>
      </c>
      <c r="G120" s="22" t="s">
        <v>67</v>
      </c>
      <c r="H120" s="8" t="s">
        <v>769</v>
      </c>
      <c r="I120" s="8">
        <v>2025.0</v>
      </c>
      <c r="J120" s="16"/>
      <c r="K120" s="17" t="s">
        <v>1065</v>
      </c>
      <c r="L120" s="17" t="s">
        <v>1066</v>
      </c>
      <c r="M120" s="17" t="s">
        <v>1067</v>
      </c>
      <c r="N120" s="17" t="s">
        <v>1068</v>
      </c>
      <c r="O120" s="17" t="s">
        <v>1069</v>
      </c>
    </row>
    <row r="121" ht="75.0" customHeight="1">
      <c r="A121" s="16" t="s">
        <v>174</v>
      </c>
      <c r="B121" s="16" t="s">
        <v>1027</v>
      </c>
      <c r="C121" s="35" t="s">
        <v>1070</v>
      </c>
      <c r="D121" s="16" t="s">
        <v>1071</v>
      </c>
      <c r="E121" s="8">
        <v>4.0</v>
      </c>
      <c r="F121" s="9" t="s">
        <v>1072</v>
      </c>
      <c r="G121" s="22" t="s">
        <v>67</v>
      </c>
      <c r="H121" s="8" t="s">
        <v>102</v>
      </c>
      <c r="I121" s="8">
        <v>2025.0</v>
      </c>
      <c r="J121" s="16"/>
      <c r="K121" s="17" t="s">
        <v>1073</v>
      </c>
      <c r="L121" s="17" t="s">
        <v>1074</v>
      </c>
      <c r="M121" s="17" t="s">
        <v>1075</v>
      </c>
      <c r="N121" s="17" t="s">
        <v>1076</v>
      </c>
      <c r="O121" s="17" t="s">
        <v>1077</v>
      </c>
    </row>
    <row r="122" ht="75.0" customHeight="1">
      <c r="A122" s="16" t="s">
        <v>174</v>
      </c>
      <c r="B122" s="16" t="s">
        <v>1027</v>
      </c>
      <c r="C122" s="35" t="s">
        <v>1078</v>
      </c>
      <c r="D122" s="16" t="s">
        <v>1079</v>
      </c>
      <c r="E122" s="8">
        <v>2.0</v>
      </c>
      <c r="F122" s="9" t="s">
        <v>1080</v>
      </c>
      <c r="G122" s="22" t="s">
        <v>67</v>
      </c>
      <c r="H122" s="8" t="s">
        <v>951</v>
      </c>
      <c r="I122" s="8">
        <v>2025.0</v>
      </c>
      <c r="J122" s="16"/>
      <c r="K122" s="17" t="s">
        <v>1081</v>
      </c>
      <c r="L122" s="17" t="s">
        <v>1082</v>
      </c>
      <c r="M122" s="17" t="s">
        <v>1083</v>
      </c>
      <c r="N122" s="17" t="s">
        <v>1084</v>
      </c>
      <c r="O122" s="17" t="s">
        <v>1085</v>
      </c>
    </row>
    <row r="123" ht="75.0" customHeight="1">
      <c r="A123" s="16" t="s">
        <v>174</v>
      </c>
      <c r="B123" s="16" t="s">
        <v>1027</v>
      </c>
      <c r="C123" s="35" t="s">
        <v>1086</v>
      </c>
      <c r="D123" s="16" t="s">
        <v>1087</v>
      </c>
      <c r="E123" s="8">
        <v>3.0</v>
      </c>
      <c r="F123" s="9" t="s">
        <v>1088</v>
      </c>
      <c r="G123" s="22" t="s">
        <v>67</v>
      </c>
      <c r="H123" s="8" t="s">
        <v>951</v>
      </c>
      <c r="I123" s="8">
        <v>2025.0</v>
      </c>
      <c r="J123" s="16"/>
      <c r="K123" s="17" t="s">
        <v>1089</v>
      </c>
      <c r="L123" s="17" t="s">
        <v>1090</v>
      </c>
      <c r="M123" s="17" t="s">
        <v>1091</v>
      </c>
      <c r="N123" s="17" t="s">
        <v>1092</v>
      </c>
      <c r="O123" s="17" t="s">
        <v>1093</v>
      </c>
    </row>
    <row r="124" ht="75.0" customHeight="1">
      <c r="A124" s="36" t="s">
        <v>193</v>
      </c>
      <c r="B124" s="36" t="s">
        <v>1094</v>
      </c>
      <c r="C124" s="37" t="s">
        <v>1095</v>
      </c>
      <c r="D124" s="36" t="s">
        <v>1096</v>
      </c>
      <c r="E124" s="8" t="s">
        <v>51</v>
      </c>
      <c r="F124" s="9" t="s">
        <v>52</v>
      </c>
      <c r="G124" s="16"/>
      <c r="H124" s="15"/>
      <c r="I124" s="15"/>
      <c r="J124" s="16"/>
      <c r="K124" s="17" t="s">
        <v>1097</v>
      </c>
      <c r="L124" s="17" t="s">
        <v>1098</v>
      </c>
      <c r="M124" s="17" t="s">
        <v>1099</v>
      </c>
      <c r="N124" s="17" t="s">
        <v>1100</v>
      </c>
      <c r="O124" s="17" t="s">
        <v>1101</v>
      </c>
    </row>
    <row r="125" ht="75.0" customHeight="1">
      <c r="A125" s="36" t="s">
        <v>193</v>
      </c>
      <c r="B125" s="36" t="s">
        <v>1094</v>
      </c>
      <c r="C125" s="37" t="s">
        <v>1102</v>
      </c>
      <c r="D125" s="36" t="s">
        <v>1103</v>
      </c>
      <c r="E125" s="8">
        <v>2.0</v>
      </c>
      <c r="F125" s="9" t="s">
        <v>1104</v>
      </c>
      <c r="G125" s="22" t="s">
        <v>67</v>
      </c>
      <c r="H125" s="8" t="s">
        <v>102</v>
      </c>
      <c r="I125" s="8">
        <v>2025.0</v>
      </c>
      <c r="J125" s="16"/>
      <c r="K125" s="17" t="s">
        <v>1105</v>
      </c>
      <c r="L125" s="17" t="s">
        <v>1106</v>
      </c>
      <c r="M125" s="17" t="s">
        <v>1107</v>
      </c>
      <c r="N125" s="17" t="s">
        <v>1108</v>
      </c>
      <c r="O125" s="17" t="s">
        <v>1109</v>
      </c>
    </row>
    <row r="126" ht="75.0" customHeight="1">
      <c r="A126" s="36" t="s">
        <v>193</v>
      </c>
      <c r="B126" s="36" t="s">
        <v>1094</v>
      </c>
      <c r="C126" s="37" t="s">
        <v>1110</v>
      </c>
      <c r="D126" s="36" t="s">
        <v>1111</v>
      </c>
      <c r="E126" s="8" t="s">
        <v>51</v>
      </c>
      <c r="F126" s="9" t="s">
        <v>52</v>
      </c>
      <c r="G126" s="16"/>
      <c r="H126" s="15"/>
      <c r="I126" s="15"/>
      <c r="J126" s="16"/>
      <c r="K126" s="17" t="s">
        <v>1112</v>
      </c>
      <c r="L126" s="17" t="s">
        <v>1113</v>
      </c>
      <c r="M126" s="17" t="s">
        <v>1114</v>
      </c>
      <c r="N126" s="17" t="s">
        <v>1115</v>
      </c>
      <c r="O126" s="17" t="s">
        <v>1116</v>
      </c>
    </row>
    <row r="127" ht="75.0" customHeight="1">
      <c r="A127" s="36" t="s">
        <v>193</v>
      </c>
      <c r="B127" s="36" t="s">
        <v>1094</v>
      </c>
      <c r="C127" s="37" t="s">
        <v>1117</v>
      </c>
      <c r="D127" s="36" t="s">
        <v>1118</v>
      </c>
      <c r="E127" s="8">
        <v>2.0</v>
      </c>
      <c r="F127" s="9" t="s">
        <v>1119</v>
      </c>
      <c r="G127" s="22" t="s">
        <v>67</v>
      </c>
      <c r="H127" s="8" t="s">
        <v>1120</v>
      </c>
      <c r="I127" s="8">
        <v>2025.0</v>
      </c>
      <c r="J127" s="16"/>
      <c r="K127" s="17" t="s">
        <v>1121</v>
      </c>
      <c r="L127" s="17" t="s">
        <v>1122</v>
      </c>
      <c r="M127" s="17" t="s">
        <v>1123</v>
      </c>
      <c r="N127" s="17" t="s">
        <v>1124</v>
      </c>
      <c r="O127" s="17" t="s">
        <v>1125</v>
      </c>
    </row>
    <row r="128" ht="75.0" customHeight="1">
      <c r="A128" s="36" t="s">
        <v>193</v>
      </c>
      <c r="B128" s="36" t="s">
        <v>1094</v>
      </c>
      <c r="C128" s="37" t="s">
        <v>1126</v>
      </c>
      <c r="D128" s="36" t="s">
        <v>1127</v>
      </c>
      <c r="E128" s="8">
        <v>3.0</v>
      </c>
      <c r="F128" s="9" t="s">
        <v>1128</v>
      </c>
      <c r="G128" s="9" t="s">
        <v>1129</v>
      </c>
      <c r="H128" s="8" t="s">
        <v>58</v>
      </c>
      <c r="I128" s="8">
        <v>2025.0</v>
      </c>
      <c r="J128" s="16"/>
      <c r="K128" s="17" t="s">
        <v>1130</v>
      </c>
      <c r="L128" s="17" t="s">
        <v>1131</v>
      </c>
      <c r="M128" s="17" t="s">
        <v>1132</v>
      </c>
      <c r="N128" s="17" t="s">
        <v>1133</v>
      </c>
      <c r="O128" s="17" t="s">
        <v>1134</v>
      </c>
    </row>
    <row r="129" ht="75.0" customHeight="1">
      <c r="A129" s="36" t="s">
        <v>193</v>
      </c>
      <c r="B129" s="36" t="s">
        <v>1094</v>
      </c>
      <c r="C129" s="37" t="s">
        <v>1135</v>
      </c>
      <c r="D129" s="36" t="s">
        <v>1136</v>
      </c>
      <c r="E129" s="8">
        <v>3.0</v>
      </c>
      <c r="F129" s="9" t="s">
        <v>1137</v>
      </c>
      <c r="G129" s="9" t="s">
        <v>476</v>
      </c>
      <c r="H129" s="8" t="s">
        <v>449</v>
      </c>
      <c r="I129" s="8">
        <v>2025.0</v>
      </c>
      <c r="J129" s="16"/>
      <c r="K129" s="17" t="s">
        <v>1138</v>
      </c>
      <c r="L129" s="17" t="s">
        <v>1139</v>
      </c>
      <c r="M129" s="17" t="s">
        <v>1140</v>
      </c>
      <c r="N129" s="17" t="s">
        <v>1141</v>
      </c>
      <c r="O129" s="17" t="s">
        <v>1142</v>
      </c>
    </row>
    <row r="130" ht="75.0" customHeight="1">
      <c r="A130" s="36" t="s">
        <v>193</v>
      </c>
      <c r="B130" s="36" t="s">
        <v>1094</v>
      </c>
      <c r="C130" s="37" t="s">
        <v>1143</v>
      </c>
      <c r="D130" s="36" t="s">
        <v>1144</v>
      </c>
      <c r="E130" s="8">
        <v>3.0</v>
      </c>
      <c r="F130" s="9" t="s">
        <v>1145</v>
      </c>
      <c r="G130" s="22" t="s">
        <v>67</v>
      </c>
      <c r="H130" s="8" t="s">
        <v>1146</v>
      </c>
      <c r="I130" s="8">
        <v>2025.0</v>
      </c>
      <c r="J130" s="16"/>
      <c r="K130" s="17" t="s">
        <v>1147</v>
      </c>
      <c r="L130" s="17" t="s">
        <v>1148</v>
      </c>
      <c r="M130" s="17" t="s">
        <v>1149</v>
      </c>
      <c r="N130" s="17" t="s">
        <v>1150</v>
      </c>
      <c r="O130" s="17" t="s">
        <v>1151</v>
      </c>
    </row>
    <row r="131" ht="75.0" customHeight="1">
      <c r="A131" s="36" t="s">
        <v>193</v>
      </c>
      <c r="B131" s="36" t="s">
        <v>1094</v>
      </c>
      <c r="C131" s="37" t="s">
        <v>1152</v>
      </c>
      <c r="D131" s="36" t="s">
        <v>1153</v>
      </c>
      <c r="E131" s="8">
        <v>4.0</v>
      </c>
      <c r="F131" s="9" t="s">
        <v>1154</v>
      </c>
      <c r="G131" s="13" t="s">
        <v>254</v>
      </c>
      <c r="H131" s="15"/>
      <c r="I131" s="15"/>
      <c r="J131" s="16"/>
      <c r="K131" s="17" t="s">
        <v>1155</v>
      </c>
      <c r="L131" s="17" t="s">
        <v>1156</v>
      </c>
      <c r="M131" s="17" t="s">
        <v>1157</v>
      </c>
      <c r="N131" s="17" t="s">
        <v>1158</v>
      </c>
      <c r="O131" s="17" t="s">
        <v>1159</v>
      </c>
    </row>
    <row r="132" ht="75.0" customHeight="1">
      <c r="A132" s="36" t="s">
        <v>193</v>
      </c>
      <c r="B132" s="36" t="s">
        <v>1160</v>
      </c>
      <c r="C132" s="37" t="s">
        <v>1161</v>
      </c>
      <c r="D132" s="36" t="s">
        <v>1162</v>
      </c>
      <c r="E132" s="8" t="s">
        <v>51</v>
      </c>
      <c r="F132" s="9" t="s">
        <v>52</v>
      </c>
      <c r="G132" s="16"/>
      <c r="H132" s="15"/>
      <c r="I132" s="15"/>
      <c r="J132" s="16"/>
      <c r="K132" s="17" t="s">
        <v>1163</v>
      </c>
      <c r="L132" s="17" t="s">
        <v>1164</v>
      </c>
      <c r="M132" s="17" t="s">
        <v>1165</v>
      </c>
      <c r="N132" s="17" t="s">
        <v>1166</v>
      </c>
      <c r="O132" s="17" t="s">
        <v>1167</v>
      </c>
    </row>
    <row r="133" ht="75.0" customHeight="1">
      <c r="A133" s="36" t="s">
        <v>193</v>
      </c>
      <c r="B133" s="36" t="s">
        <v>1160</v>
      </c>
      <c r="C133" s="37" t="s">
        <v>1168</v>
      </c>
      <c r="D133" s="36" t="s">
        <v>1169</v>
      </c>
      <c r="E133" s="8">
        <v>3.0</v>
      </c>
      <c r="F133" s="9" t="s">
        <v>1170</v>
      </c>
      <c r="G133" s="9" t="s">
        <v>1171</v>
      </c>
      <c r="H133" s="8" t="s">
        <v>58</v>
      </c>
      <c r="I133" s="8">
        <v>2025.0</v>
      </c>
      <c r="J133" s="16"/>
      <c r="K133" s="17" t="s">
        <v>1172</v>
      </c>
      <c r="L133" s="17" t="s">
        <v>1173</v>
      </c>
      <c r="M133" s="17" t="s">
        <v>1174</v>
      </c>
      <c r="N133" s="17" t="s">
        <v>1175</v>
      </c>
      <c r="O133" s="17" t="s">
        <v>1176</v>
      </c>
    </row>
    <row r="134" ht="75.0" customHeight="1">
      <c r="A134" s="36" t="s">
        <v>193</v>
      </c>
      <c r="B134" s="36" t="s">
        <v>1160</v>
      </c>
      <c r="C134" s="37" t="s">
        <v>1177</v>
      </c>
      <c r="D134" s="36" t="s">
        <v>1178</v>
      </c>
      <c r="E134" s="8">
        <v>3.0</v>
      </c>
      <c r="F134" s="9" t="s">
        <v>1179</v>
      </c>
      <c r="G134" s="13" t="s">
        <v>1180</v>
      </c>
      <c r="H134" s="8" t="s">
        <v>58</v>
      </c>
      <c r="I134" s="8">
        <v>2023.0</v>
      </c>
      <c r="J134" s="16"/>
      <c r="K134" s="17" t="s">
        <v>1181</v>
      </c>
      <c r="L134" s="17" t="s">
        <v>1182</v>
      </c>
      <c r="M134" s="17" t="s">
        <v>1183</v>
      </c>
      <c r="N134" s="17" t="s">
        <v>1184</v>
      </c>
      <c r="O134" s="17" t="s">
        <v>1185</v>
      </c>
    </row>
    <row r="135" ht="75.0" customHeight="1">
      <c r="A135" s="36" t="s">
        <v>193</v>
      </c>
      <c r="B135" s="36" t="s">
        <v>1160</v>
      </c>
      <c r="C135" s="37" t="s">
        <v>1186</v>
      </c>
      <c r="D135" s="36" t="s">
        <v>1187</v>
      </c>
      <c r="E135" s="8" t="s">
        <v>51</v>
      </c>
      <c r="F135" s="9" t="s">
        <v>52</v>
      </c>
      <c r="G135" s="16"/>
      <c r="H135" s="15"/>
      <c r="I135" s="15"/>
      <c r="J135" s="16"/>
      <c r="K135" s="17" t="s">
        <v>1188</v>
      </c>
      <c r="L135" s="17" t="s">
        <v>1189</v>
      </c>
      <c r="M135" s="17" t="s">
        <v>1190</v>
      </c>
      <c r="N135" s="17" t="s">
        <v>1191</v>
      </c>
      <c r="O135" s="17" t="s">
        <v>1192</v>
      </c>
    </row>
    <row r="136" ht="75.0" customHeight="1">
      <c r="A136" s="36" t="s">
        <v>193</v>
      </c>
      <c r="B136" s="36" t="s">
        <v>1160</v>
      </c>
      <c r="C136" s="37" t="s">
        <v>1193</v>
      </c>
      <c r="D136" s="36" t="s">
        <v>1194</v>
      </c>
      <c r="E136" s="8">
        <v>3.0</v>
      </c>
      <c r="F136" s="9" t="s">
        <v>1195</v>
      </c>
      <c r="G136" s="9" t="s">
        <v>1196</v>
      </c>
      <c r="H136" s="8" t="s">
        <v>58</v>
      </c>
      <c r="I136" s="8">
        <v>2023.0</v>
      </c>
      <c r="J136" s="16"/>
      <c r="K136" s="17" t="s">
        <v>1197</v>
      </c>
      <c r="L136" s="17" t="s">
        <v>1198</v>
      </c>
      <c r="M136" s="17" t="s">
        <v>1199</v>
      </c>
      <c r="N136" s="17" t="s">
        <v>1200</v>
      </c>
      <c r="O136" s="17" t="s">
        <v>1201</v>
      </c>
    </row>
    <row r="137" ht="75.0" customHeight="1">
      <c r="A137" s="36" t="s">
        <v>193</v>
      </c>
      <c r="B137" s="36" t="s">
        <v>1160</v>
      </c>
      <c r="C137" s="37" t="s">
        <v>1202</v>
      </c>
      <c r="D137" s="36" t="s">
        <v>1203</v>
      </c>
      <c r="E137" s="8" t="s">
        <v>51</v>
      </c>
      <c r="F137" s="9" t="s">
        <v>52</v>
      </c>
      <c r="G137" s="16"/>
      <c r="H137" s="15"/>
      <c r="I137" s="15"/>
      <c r="J137" s="16"/>
      <c r="K137" s="17" t="s">
        <v>1204</v>
      </c>
      <c r="L137" s="17" t="s">
        <v>1205</v>
      </c>
      <c r="M137" s="17" t="s">
        <v>1206</v>
      </c>
      <c r="N137" s="17" t="s">
        <v>1207</v>
      </c>
      <c r="O137" s="17" t="s">
        <v>1208</v>
      </c>
    </row>
    <row r="138" ht="75.0" customHeight="1">
      <c r="A138" s="36" t="s">
        <v>193</v>
      </c>
      <c r="B138" s="36" t="s">
        <v>1160</v>
      </c>
      <c r="C138" s="37" t="s">
        <v>1209</v>
      </c>
      <c r="D138" s="36" t="s">
        <v>1210</v>
      </c>
      <c r="E138" s="8" t="s">
        <v>51</v>
      </c>
      <c r="F138" s="9" t="s">
        <v>52</v>
      </c>
      <c r="G138" s="16"/>
      <c r="H138" s="15"/>
      <c r="I138" s="15"/>
      <c r="J138" s="16"/>
      <c r="K138" s="17" t="s">
        <v>1211</v>
      </c>
      <c r="L138" s="17" t="s">
        <v>1212</v>
      </c>
      <c r="M138" s="17" t="s">
        <v>1213</v>
      </c>
      <c r="N138" s="17" t="s">
        <v>1214</v>
      </c>
      <c r="O138" s="17" t="s">
        <v>1215</v>
      </c>
    </row>
    <row r="139" ht="75.0" customHeight="1">
      <c r="A139" s="36" t="s">
        <v>193</v>
      </c>
      <c r="B139" s="36" t="s">
        <v>1216</v>
      </c>
      <c r="C139" s="37" t="s">
        <v>1217</v>
      </c>
      <c r="D139" s="36" t="s">
        <v>1218</v>
      </c>
      <c r="E139" s="8">
        <v>2.0</v>
      </c>
      <c r="F139" s="9" t="s">
        <v>1219</v>
      </c>
      <c r="G139" s="9" t="s">
        <v>1220</v>
      </c>
      <c r="H139" s="8" t="s">
        <v>942</v>
      </c>
      <c r="I139" s="8">
        <v>2025.0</v>
      </c>
      <c r="J139" s="16"/>
      <c r="K139" s="17" t="s">
        <v>1221</v>
      </c>
      <c r="L139" s="17" t="s">
        <v>1222</v>
      </c>
      <c r="M139" s="17" t="s">
        <v>1223</v>
      </c>
      <c r="N139" s="17" t="s">
        <v>1224</v>
      </c>
      <c r="O139" s="17" t="s">
        <v>1225</v>
      </c>
    </row>
    <row r="140" ht="75.0" customHeight="1">
      <c r="A140" s="36" t="s">
        <v>193</v>
      </c>
      <c r="B140" s="36" t="s">
        <v>1216</v>
      </c>
      <c r="C140" s="37" t="s">
        <v>1226</v>
      </c>
      <c r="D140" s="36" t="s">
        <v>1227</v>
      </c>
      <c r="E140" s="8">
        <v>3.0</v>
      </c>
      <c r="F140" s="9" t="s">
        <v>1228</v>
      </c>
      <c r="G140" s="22" t="s">
        <v>67</v>
      </c>
      <c r="H140" s="8" t="s">
        <v>577</v>
      </c>
      <c r="I140" s="8">
        <v>2025.0</v>
      </c>
      <c r="J140" s="16"/>
      <c r="K140" s="17" t="s">
        <v>1229</v>
      </c>
      <c r="L140" s="17" t="s">
        <v>1230</v>
      </c>
      <c r="M140" s="17" t="s">
        <v>1231</v>
      </c>
      <c r="N140" s="17" t="s">
        <v>1232</v>
      </c>
      <c r="O140" s="17" t="s">
        <v>1233</v>
      </c>
    </row>
    <row r="141" ht="75.0" customHeight="1">
      <c r="A141" s="36" t="s">
        <v>193</v>
      </c>
      <c r="B141" s="36" t="s">
        <v>1216</v>
      </c>
      <c r="C141" s="37" t="s">
        <v>1234</v>
      </c>
      <c r="D141" s="36" t="s">
        <v>1235</v>
      </c>
      <c r="E141" s="8">
        <v>3.0</v>
      </c>
      <c r="F141" s="9" t="s">
        <v>1236</v>
      </c>
      <c r="G141" s="22" t="s">
        <v>67</v>
      </c>
      <c r="H141" s="8" t="s">
        <v>102</v>
      </c>
      <c r="I141" s="8">
        <v>2025.0</v>
      </c>
      <c r="J141" s="16"/>
      <c r="K141" s="17" t="s">
        <v>1237</v>
      </c>
      <c r="L141" s="17" t="s">
        <v>1238</v>
      </c>
      <c r="M141" s="17" t="s">
        <v>1239</v>
      </c>
      <c r="N141" s="17" t="s">
        <v>1240</v>
      </c>
      <c r="O141" s="17" t="s">
        <v>1241</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41"/>
  <conditionalFormatting sqref="E2:E141">
    <cfRule type="expression" dxfId="0" priority="1">
      <formula>AND($E2&lt;&gt;"",$E2&lt;&gt;"N/A",$F2="")</formula>
    </cfRule>
  </conditionalFormatting>
  <conditionalFormatting sqref="E2:E141">
    <cfRule type="cellIs" dxfId="1" priority="2" operator="equal">
      <formula>"N/A"</formula>
    </cfRule>
  </conditionalFormatting>
  <dataValidations>
    <dataValidation type="list" allowBlank="1" showInputMessage="1" showErrorMessage="1" prompt="Level - 1–5 theo mô tả DBI; N/A nếu không có minh chứng công khai" sqref="E2:E141">
      <formula1>"1,2,3,4,5,N/A"</formula1>
    </dataValidation>
    <dataValidation type="decimal" allowBlank="1" showInputMessage="1" showErrorMessage="1" prompt="Năm - Nhập năm dạng số, ví dụ 2025." sqref="I2:I141">
      <formula1>2015.0</formula1>
      <formula2>2030.0</formula2>
    </dataValidation>
  </dataValidations>
  <hyperlinks>
    <hyperlink r:id="rId1" ref="G2"/>
    <hyperlink r:id="rId2" ref="G3"/>
    <hyperlink r:id="rId3" ref="G4"/>
    <hyperlink r:id="rId4" ref="G5"/>
    <hyperlink r:id="rId5" ref="G7"/>
    <hyperlink r:id="rId6" ref="G8"/>
    <hyperlink r:id="rId7" ref="G10"/>
    <hyperlink r:id="rId8" ref="G14"/>
    <hyperlink r:id="rId9" ref="G15"/>
    <hyperlink r:id="rId10" ref="G17"/>
    <hyperlink r:id="rId11" ref="G19"/>
    <hyperlink r:id="rId12" ref="G20"/>
    <hyperlink r:id="rId13" ref="G21"/>
    <hyperlink r:id="rId14" ref="G22"/>
    <hyperlink r:id="rId15" ref="G23"/>
    <hyperlink r:id="rId16" ref="G24"/>
    <hyperlink r:id="rId17" ref="G25"/>
    <hyperlink r:id="rId18" ref="G26"/>
    <hyperlink r:id="rId19" ref="G30"/>
    <hyperlink r:id="rId20" ref="G31"/>
    <hyperlink r:id="rId21" ref="G33"/>
    <hyperlink r:id="rId22" ref="G35"/>
    <hyperlink r:id="rId23" ref="G36"/>
    <hyperlink r:id="rId24" ref="G37"/>
    <hyperlink r:id="rId25" ref="G38"/>
    <hyperlink r:id="rId26" ref="G40"/>
    <hyperlink r:id="rId27" ref="G41"/>
    <hyperlink r:id="rId28" ref="G43"/>
    <hyperlink r:id="rId29" ref="G44"/>
    <hyperlink r:id="rId30" ref="G45"/>
    <hyperlink r:id="rId31" ref="G46"/>
    <hyperlink r:id="rId32" ref="G51"/>
    <hyperlink r:id="rId33" ref="G52"/>
    <hyperlink r:id="rId34" ref="G53"/>
    <hyperlink r:id="rId35" ref="G54"/>
    <hyperlink r:id="rId36" ref="G56"/>
    <hyperlink r:id="rId37" ref="G57"/>
    <hyperlink r:id="rId38" ref="G62"/>
    <hyperlink r:id="rId39" ref="G65"/>
    <hyperlink r:id="rId40" ref="G69"/>
    <hyperlink r:id="rId41" ref="G75"/>
    <hyperlink r:id="rId42" ref="G77"/>
    <hyperlink r:id="rId43" ref="G80"/>
    <hyperlink r:id="rId44" ref="G81"/>
    <hyperlink r:id="rId45" ref="G82"/>
    <hyperlink r:id="rId46" ref="G83"/>
    <hyperlink r:id="rId47" ref="G85"/>
    <hyperlink r:id="rId48" ref="G90"/>
    <hyperlink r:id="rId49" ref="G92"/>
    <hyperlink r:id="rId50" ref="G94"/>
    <hyperlink r:id="rId51" ref="G96"/>
    <hyperlink r:id="rId52" ref="G97"/>
    <hyperlink r:id="rId53" ref="G101"/>
    <hyperlink r:id="rId54" ref="G107"/>
    <hyperlink r:id="rId55" ref="G108"/>
    <hyperlink r:id="rId56" ref="G109"/>
    <hyperlink r:id="rId57" ref="G110"/>
    <hyperlink r:id="rId58" ref="G111"/>
    <hyperlink r:id="rId59" ref="G113"/>
    <hyperlink r:id="rId60" ref="G114"/>
    <hyperlink r:id="rId61" ref="G115"/>
    <hyperlink r:id="rId62" ref="G116"/>
    <hyperlink r:id="rId63" ref="G117"/>
    <hyperlink r:id="rId64" ref="G120"/>
    <hyperlink r:id="rId65" ref="G121"/>
    <hyperlink r:id="rId66" ref="G122"/>
    <hyperlink r:id="rId67" ref="G123"/>
    <hyperlink r:id="rId68" ref="G125"/>
    <hyperlink r:id="rId69" ref="G127"/>
    <hyperlink r:id="rId70" ref="G130"/>
    <hyperlink r:id="rId71" ref="G131"/>
    <hyperlink r:id="rId72" ref="G134"/>
    <hyperlink r:id="rId73" ref="G140"/>
    <hyperlink r:id="rId74" ref="G141"/>
  </hyperlinks>
  <printOptions/>
  <pageMargins bottom="1.0" footer="0.0" header="0.0" left="0.75" right="0.75" top="1.0"/>
  <pageSetup paperSize="9" orientation="portrait"/>
  <drawing r:id="rId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2026-10-07T05:58:21Z</dcterms:created>
  <dc:creator>openpyxl</dc:creator>
</cp:coreProperties>
</file>

<file path=docProps/custom.xml><?xml version="1.0" encoding="utf-8"?>
<Properties xmlns="http://schemas.openxmlformats.org/officeDocument/2006/custom-properties" xmlns:vt="http://schemas.openxmlformats.org/officeDocument/2006/docPropsVTypes"/>
</file>