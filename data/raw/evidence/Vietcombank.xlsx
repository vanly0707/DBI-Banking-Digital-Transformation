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ướng dẫn" sheetId="1" r:id="rId4"/>
    <sheet state="visible" name="Chấm điểm" sheetId="2" r:id="rId5"/>
  </sheets>
  <definedNames>
    <definedName hidden="1" localSheetId="1" name="_xlnm._FilterDatabase">'Chấm điểm'!$A$1:$O$141</definedName>
  </definedNames>
  <calcPr/>
  <extLst>
    <ext uri="GoogleSheetsCustomDataVersion2">
      <go:sheetsCustomData xmlns:go="http://customooxmlschemas.google.com/" r:id="rId6" roundtripDataChecksum="f1fFhHEaGW/mYdGV5Jh6++g+nzQwGe3oaNv1w1sCYpw="/>
    </ext>
  </extLst>
</workbook>
</file>

<file path=xl/sharedStrings.xml><?xml version="1.0" encoding="utf-8"?>
<sst xmlns="http://schemas.openxmlformats.org/spreadsheetml/2006/main" count="1776" uniqueCount="1353">
  <si>
    <t>PHIẾU THU THẬP MINH CHỨNG &amp; CHẤM ĐIỂM CĐS (DBI)</t>
  </si>
  <si>
    <t>Trụ cột</t>
  </si>
  <si>
    <t>Ngân hàng</t>
  </si>
  <si>
    <t>Vietcombank</t>
  </si>
  <si>
    <t>← Tên ngân hàng: KHÔNG sửa (code đọc ô B3 để nhận diện)</t>
  </si>
  <si>
    <t>Nhóm tiêu chí</t>
  </si>
  <si>
    <t>Người phụ trách</t>
  </si>
  <si>
    <t>Mã</t>
  </si>
  <si>
    <t>Thư</t>
  </si>
  <si>
    <t>Tiêu chí</t>
  </si>
  <si>
    <t>Level</t>
  </si>
  <si>
    <t>Minh chứng</t>
  </si>
  <si>
    <t>Nguồn</t>
  </si>
  <si>
    <t>Trang</t>
  </si>
  <si>
    <t>Năm dữ liệu (FY)</t>
  </si>
  <si>
    <t>Năm</t>
  </si>
  <si>
    <t>Ghi chú</t>
  </si>
  <si>
    <t>Deadline nộp</t>
  </si>
  <si>
    <t>09/10</t>
  </si>
  <si>
    <t>Mức 1</t>
  </si>
  <si>
    <t>CÁCH ĐIỀN (sheet "Chấm điểm")</t>
  </si>
  <si>
    <t>Mức 2</t>
  </si>
  <si>
    <t>Mức 3</t>
  </si>
  <si>
    <t>1. Chỉ điền vào các cột nền VÀNG (Level, Minh chứng, Nguồn, Trang, Năm, Ghi chú). Cột xám là cố định, không sửa.</t>
  </si>
  <si>
    <t>Mức 4</t>
  </si>
  <si>
    <t>Mức 5</t>
  </si>
  <si>
    <t>2. Đọc mô tả Mức 1–5 ở các cột bên phải của từng tiêu chí, rồi đọc minh chứng đã ghi để chọn Level.</t>
  </si>
  <si>
    <t>1. Trụ cột Khách hàng</t>
  </si>
  <si>
    <t>3. Level: chọn từ danh sách 1, 2, 3, 4, 5 hoặc N/A (không có minh chứng công khai). Không để trống.</t>
  </si>
  <si>
    <t>Góc nhìn của khách hàng đối với sản phẩm, dịch vụ</t>
  </si>
  <si>
    <t>4. Trả lời 3 câu hỏi: (a) có tồn tại không; (b) phạm vi: một phần / một cụm / toàn ngân hàng / cùng đối tác; (c) có số liệu hoặc cam kết đo lường không.</t>
  </si>
  <si>
    <t>1.1.1</t>
  </si>
  <si>
    <t>5. Minh chứng: ghi ngắn gọn điều ngân hàng đã làm, ưu tiên có số liệu. Không chép nguyên đoạn dài.</t>
  </si>
  <si>
    <t>Cá nhân hóa trải nghiệm</t>
  </si>
  <si>
    <t>6. Nguồn: tên tài liệu hoặc URL. Nhiều nguồn thì cách nhau bằng dấu chấm phẩy ( ; ). Ưu tiên BCTN, BC PTBV, website ngân hàng hơn tin tức.</t>
  </si>
  <si>
    <t>7. Trang: số trang trong tài liệu (nếu là website thì ghi "web"). Năm: năm của tài liệu/bài đăng.</t>
  </si>
  <si>
    <t>8. Chỉ dùng dữ liệu công khai. Chấm theo minh chứng đã ghi, không chấm theo ấn tượng chung về ngân hàng.</t>
  </si>
  <si>
    <t>9. Không thêm/xóa/đổi thứ tự dòng, không đổi tên cột, không đổi mã tiêu chí (phải đủ 140 mã).</t>
  </si>
  <si>
    <t>VÍ DỤ ĐIỀN (chỉ minh họa, KHÔNG chép vào sheet Chấm điểm)</t>
  </si>
  <si>
    <t>Ứng dụng gợi ý sản phẩm/ưu đãi theo hành vi giao dịch cho nhóm khách hàng cá nhân; chưa nêu phạm vi toàn ngân hàng.</t>
  </si>
  <si>
    <t>BCTN 2025; website mục Ngân hàng số</t>
  </si>
  <si>
    <t>1.1.2</t>
  </si>
  <si>
    <t>N/A</t>
  </si>
  <si>
    <t>Không tìm thấy thông tin công khai.</t>
  </si>
  <si>
    <t>TIẾN ĐỘ &amp; KIỂM TRA TỰ ĐỘNG</t>
  </si>
  <si>
    <t>Tổng tiêu chí</t>
  </si>
  <si>
    <t>Đã có Level (1–5)</t>
  </si>
  <si>
    <t>Còn trống</t>
  </si>
  <si>
    <t>VCB Digibank (~18 triệu KH hoạt động, ~250 sản phẩm/tiện ích) và Digibot; Vietcombank cho biết dùng AI/Big Data để cá nhân hóa trải nghiệm; năm 2026 chuyển từ sản phẩm đơn lẻ sang giải pháp theo vòng đời khách hàng.</t>
  </si>
  <si>
    <r>
      <rPr>
        <rFont val="Arial"/>
        <sz val="10.0"/>
      </rPr>
      <t xml:space="preserve">BC Phát triển bền vững 2025 Vietcombank; BCTN 2025 Vietcombank; </t>
    </r>
    <r>
      <rPr>
        <rFont val="Arial"/>
        <color rgb="FF1155CC"/>
        <sz val="10.0"/>
        <u/>
      </rPr>
      <t>https://www.vietcombank.com.vn/vi-VN/Trang-thong-tin-dien-tu/Articles/2025/07/01/20250701_VCB-nhan-gia-VIE10-VIE50</t>
    </r>
    <r>
      <rPr>
        <rFont val="Arial"/>
        <sz val="10.0"/>
      </rPr>
      <t xml:space="preserve"> </t>
    </r>
  </si>
  <si>
    <t>24 (PTBV); 56 (BCTN); web</t>
  </si>
  <si>
    <t>Mới có tuyên bố chung, chưa thấy số liệu về phạm vi cá nhân hóa -&gt; chấm 2, cân nhắc nâng nếu nhóm có thêm tư liệu.</t>
  </si>
  <si>
    <t>Có ít hoặc chưa có cá nhân hóa trong trải nghiệm khách hàng.</t>
  </si>
  <si>
    <t>Một số khía cạnh trong trải nghiệm khách hàng được cá nhân hóa dựa trên thông tin về khách hàng thu thập được ở một số bộ phận, đơn vị chức năng.</t>
  </si>
  <si>
    <t>Một số khía cạnh trong trải nghiệm khách hàng được cá nhân hóa dựa trên thông tin về khách hàng thu thập được và triển khai ở một số cụm các bộ phận, đơn vị chức năng.</t>
  </si>
  <si>
    <t>Tất cả các khía cạnh trong trải nghiệm khách hàng được cá nhân hóa dựa trên thông tin về khách hàng thu thập được và triển khai trong toàn doanh nghiệp.</t>
  </si>
  <si>
    <t>Tất cả các khía cạnh trong trải nghiệm khách hàng được cá nhân hóa dựa trên thông tin về khách hàng thu thập được, triển khai trong toàn doanh nghiệp và các đối tác trong hệ sinh thái của doanh nghiệp.</t>
  </si>
  <si>
    <t>Tiếp thị mục tiêu</t>
  </si>
  <si>
    <t>Chưa thấy tư liệu về tiếp thị nhắm mục tiêu theo ngữ cảnh khách hàng.</t>
  </si>
  <si>
    <t>Có một số nội dung tiếp thị được nhắm mục tiêu.</t>
  </si>
  <si>
    <t>Hầu hết nội dung tiếp thị được nhắm mục tiêu.</t>
  </si>
  <si>
    <t>Hầu hết nội dung tiếp thị được nhắm mục tiêu và có liên quan đến bối cảnh của khách hàng.</t>
  </si>
  <si>
    <t>Tất cả nội dung tiếp thị trong doanh nghiệp được nhắm mục tiêu và có liên quan đến bối cảnh của khách hàng.</t>
  </si>
  <si>
    <t>Tất cả nội dung tiếp thị từ cả doanh nghiệp và các đối tác trong hệ sinh thái của doanh nghiệp đều được nhắm mục tiêu và có liên quan đến bối cảnh của khách hàng.</t>
  </si>
  <si>
    <t>1.1.3</t>
  </si>
  <si>
    <t>Tự tùy chỉnh</t>
  </si>
  <si>
    <t>Khách hàng tự thực hiện trên VCB Digibank: mở tài khoản/đăng ký trực tuyến, ký số, giải ngân trực tuyến, phát hành thẻ ghi nợ phi vật lý (từ 12/2025), ~250 sản phẩm, dịch vụ, tiện ích; tích hợp thanh toán QR, liên kết ePass.</t>
  </si>
  <si>
    <r>
      <rPr>
        <rFont val="Arial"/>
        <sz val="10.0"/>
      </rPr>
      <t xml:space="preserve">BC Phát triển bền vững 2025 Vietcombank; </t>
    </r>
    <r>
      <rPr>
        <rFont val="Arial"/>
        <color rgb="FF1155CC"/>
        <sz val="10.0"/>
        <u/>
      </rPr>
      <t>https://vneconomy.vn/vietcombank-mo-tai-khoan-truc-tuyen-tich-hop-thong-tin-sinh-trac-hoc.htm</t>
    </r>
    <r>
      <rPr>
        <rFont val="Arial"/>
        <sz val="10.0"/>
      </rPr>
      <t xml:space="preserve"> ; </t>
    </r>
    <r>
      <rPr>
        <rFont val="Arial"/>
        <color rgb="FF1155CC"/>
        <sz val="10.0"/>
        <u/>
      </rPr>
      <t>https://www.vietcombank.com.vn/vi-VN/KHCN/Truy-cap-nhanh/Tin-noi-bat/Articles/2025/10/24/Epass</t>
    </r>
    <r>
      <rPr>
        <rFont val="Arial"/>
        <sz val="10.0"/>
      </rPr>
      <t xml:space="preserve"> </t>
    </r>
  </si>
  <si>
    <t>2. Trụ cột Chiến lược</t>
  </si>
  <si>
    <t>35 (PTBV) web</t>
  </si>
  <si>
    <t>Có rất ít công cụ sẵn có để cho phép khách hàng tùy chỉnh sản phẩm và dịch vụ.</t>
  </si>
  <si>
    <t>Một số công cụ có sẵn để cho phép khách hàng tùy chỉnh một số sản phẩm và dịch vụ.</t>
  </si>
  <si>
    <t>Một loạt các công cụ có sẵn để cho phép khách hàng tùy chỉnh tương đối đầy đủ cho một số sản phẩm và dịch vụ.</t>
  </si>
  <si>
    <t>Một loạt các công cụ được doanh nghiệp cung cấp cho phép khách hàng tùy chỉnh hoàn toàn cho các sản phẩm và dịch vụ của chính họ cùng một lúc.</t>
  </si>
  <si>
    <t>Một loạt các công cụ được doanh nghiệp và các đối tác trong hệ sinh thái của doanh nghiệp cung cấp cho phép khách hàng tùy chỉnh đầy đủ cho tất cả các sản phẩm và dịch vụ cùng một lúc.</t>
  </si>
  <si>
    <t>1.1.4</t>
  </si>
  <si>
    <t>Dễ sử dụng</t>
  </si>
  <si>
    <t>Khảo sát 2025: 94% khách hàng hài lòng/rất hài lòng; VCB Digibank được The Asian Banker bình chọn 'Ứng dụng Ngân hàng số tốt nhất Việt Nam 2025'; giao dịch số bán lẻ trên 99%.</t>
  </si>
  <si>
    <t>BC Phát triển bền vững 2025 Vietcombank</t>
  </si>
  <si>
    <t>19; 52; 26</t>
  </si>
  <si>
    <t>Giải thưởng The Asian Banker nằm ở Chương 1 'Dấu ấn' của BC PTBV.</t>
  </si>
  <si>
    <t>Có rất ít hoạt động tương tác với doanh nghiệp khiến khách hàng cảm thấy dễ dàng được đáp ứng nhu cầu cá nhân.</t>
  </si>
  <si>
    <t>Một số tương tác với doanh nghiệp khiến khách hàng cảm thấy dễ dàng được đáp ứng nhu cầu cá nhân.</t>
  </si>
  <si>
    <t>Hầu hết các tương tác với doanh nghiệp khiến khách hàng cảm thấy dễ dàng được đáp ứng nhu cầu cá nhân.</t>
  </si>
  <si>
    <t>Tất cả các tương tác với doanh nghiệp khiến khách hàng cảm thấy dễ dàng được đáp ứng nhu cầu cá nhân.</t>
  </si>
  <si>
    <t>Tất cả các tương tác với doanh nghiệp và các đối tác trong hệ sinh thái của doanh nghiệp khiến khách hàng cảm thấy dễ dàng được đáp ứng nhu cầu cá nhân.</t>
  </si>
  <si>
    <t>1.1.5</t>
  </si>
  <si>
    <t>Mức độ hứng thú của khách hàng</t>
  </si>
  <si>
    <t>76% khách hàng sẵn lòng giới thiệu sản phẩm/dịch vụ; gần 1 triệu lượt phản hồi trong 46 chương trình khảo sát; nhiều giải thưởng trải nghiệm khách hàng (Sao Khuê, Vietnam Digital Awards, Visa, Mastercard).</t>
  </si>
  <si>
    <t xml:space="preserve">BC Phát triển bền vững 2025 Vietcombank; </t>
  </si>
  <si>
    <t>19; 12 (PTBV)</t>
  </si>
  <si>
    <t>Có rất ít hoạt động tương tác của khách hàng với doanh nghiệp khiến khách hàng cảm thấy thú vị.</t>
  </si>
  <si>
    <t>Một số hoạt động tương tác của khách hàng với doanh nghiệp khiến khách hàng cảm thấy thú vị.</t>
  </si>
  <si>
    <t>Hầu hết hoạt động tương tác của khách hàng với doanh nghiệp khiến khách hàng cảm thấy thú vị.</t>
  </si>
  <si>
    <t>Tất cả hoạt động tương tác của khách hàng với doanh nghiệp khiến khách hàng cảm thấy thú vị.</t>
  </si>
  <si>
    <t>Tất cả hoạt động tương tác của khách hàng với doanh nghiệp và các đối tác trong hệ sinh thái của doanh nghiệp khiến khách hàng cảm thấy thú vị.</t>
  </si>
  <si>
    <t>3. Trụ cột Công nghệ</t>
  </si>
  <si>
    <t>1.1.6</t>
  </si>
  <si>
    <t>Tương tác số</t>
  </si>
  <si>
    <t>Tỷ trọng giao dịch khách hàng qua kênh số đạt 91,4%, riêng bán lẻ trên 99%; chỉ tiêu tỷ lệ giao dịch qua kênh số vượt kế hoạch 2030.</t>
  </si>
  <si>
    <t>6 (PTBV)</t>
  </si>
  <si>
    <t>Số liệu là tỷ lệ giao dịch, chưa chứng minh 'tất cả tương tác' làm được trên kênh số -&gt; nhóm có thể hạ về 3 nếu muốn chặt hơn.</t>
  </si>
  <si>
    <t>Có rất ít tương tác có thể được thực hiện trên các kênh số.</t>
  </si>
  <si>
    <t>Một số tương tác của khách hàng với doanh nghiệp có thể được thực hiện trên các kênh số.</t>
  </si>
  <si>
    <t>Hầu hết các tương tác của khách hàng với doanh nghiệp có thể được thực hiện trên các kênh số.</t>
  </si>
  <si>
    <t>Tất cả các tương tác của khách hàng với doanh nghiệp có thể được thực hiện trên các kênh số.</t>
  </si>
  <si>
    <t>Tất cả các tương tác của khách hàng với doanh nghiệp và các đối tác trong hệ sinh thái của doanh nghiệp có thể được thực hiện trên các kênh số.</t>
  </si>
  <si>
    <t>1.1.7</t>
  </si>
  <si>
    <t>Chủ động chăm sóc</t>
  </si>
  <si>
    <t>Có dự án xây dựng hệ thống phòng chống gian lận cho giao dịch thẻ và ngân hàng điện tử của KHCN (khởi động 16/6/2025, tư vấn EY); thường xuyên phát cảnh báo lừa đảo, mạo danh cho khách hàng.</t>
  </si>
  <si>
    <r>
      <rPr>
        <rFont val="Arial"/>
        <color rgb="FF1155CC"/>
        <sz val="10.0"/>
        <u/>
      </rPr>
      <t>https://www.vietcombank.com.vn/vi-VN/Trang-thong-tin-dien-tu/Articles/2025/06/24/20250624_DTH_Le-khoi-dong-du-an</t>
    </r>
    <r>
      <rPr>
        <rFont val="Arial"/>
        <sz val="10.0"/>
      </rPr>
      <t xml:space="preserve"> ';</t>
    </r>
    <r>
      <rPr>
        <rFont val="Arial"/>
        <color rgb="FF1155CC"/>
        <sz val="10.0"/>
        <u/>
      </rPr>
      <t>https://www.vietcombank.com.vn/vi-VN/KHCN/Truy-cap-nhanh/Tin-noi-bat/Articles/2025/10/22/Thu-doan-gia-mao-the-Ngan-hang</t>
    </r>
    <r>
      <rPr>
        <rFont val="Arial"/>
        <sz val="10.0"/>
      </rPr>
      <t xml:space="preserve"> </t>
    </r>
  </si>
  <si>
    <t>4. Trụ cột Vận hành</t>
  </si>
  <si>
    <t>web</t>
  </si>
  <si>
    <t>Chủ động ở mảng rủi ro/lừa đảo; chưa thấy dự đoán nhu cầu sản phẩm của khách hàng.</t>
  </si>
  <si>
    <t>Có rất ít nhu cầu hoặc vấn đề của khách hàng được doanh nghiệp dự đoán trước.</t>
  </si>
  <si>
    <t>Một số nhu cầu hoặc vấn đề của khách hàng được doanh nghiệp dự đoán trước.</t>
  </si>
  <si>
    <t>Hầu hết các nhu cầu hoặc vấn đề của khách hàng đều được doanh nghiệp dự đoán trước.</t>
  </si>
  <si>
    <t>Tất cả các nhu cầu hoặc vấn đề của khách hàng đều được doanh nghiệp dự đoán trước.</t>
  </si>
  <si>
    <t>Tất cả các nhu cầu hoặc vấn đề của khách hàng đều được doanh nghiệp hoặc các đối tác trong hệ sinh thái của doanh nghiệp dự đoán trước.</t>
  </si>
  <si>
    <t>1.1.8</t>
  </si>
  <si>
    <t>Gắn kết xã hội</t>
  </si>
  <si>
    <t>Chưa thấy hoạt động thúc đẩy gắn kết xã hội giữa các khách hàng.</t>
  </si>
  <si>
    <t>Sự gắn kết xã hội chưa được xem xét.</t>
  </si>
  <si>
    <t>Ít nhất một đơn vị bộ phận, đơn vị chức năng có hoạt động thúc đẩy sự gắn kết xã hội với và giữa các khách hàng để khuyến khích sự trung thành.</t>
  </si>
  <si>
    <t>Hầu hết các đơn vị bộ phận, đơn vị chức năng có hoạt động thúc đẩy sự gắn kết xã hội với và giữa các khách hàng để khuyến khích sự trung thành.</t>
  </si>
  <si>
    <t>Toàn bộ các đơn vị bộ phận, đơn vị chức năng có hoạt động thúc đẩy sự gắn kết xã hội với và giữa các khách hàng để khuyến khích sự trung thành.</t>
  </si>
  <si>
    <t>Toàn bộ các đơn vị bộ phận, đơn vị chức năng của doanh nghiệp và các đối tác trong hệ sinh thái có hoạt động thúc đẩy sự gắn kết xã hội với và giữa các khách hàng để khuyến khích sự trung thành.</t>
  </si>
  <si>
    <t>1.1.9</t>
  </si>
  <si>
    <t>Thúc đẩy mức độ trung thành</t>
  </si>
  <si>
    <t>Định hướng 2026: nâng cao chất lượng quan hệ, mức độ gắn bó khách hàng, đổi mới cách tiếp cận khách hàng; có các chương trình ưu đãi, hoạt động dành cho khách hàng (VD chuỗi hoạt động Olympic Paris 2024).</t>
  </si>
  <si>
    <r>
      <rPr>
        <rFont val="Arial"/>
        <sz val="10.0"/>
      </rPr>
      <t xml:space="preserve">BCTN 2025 Vietcombank; </t>
    </r>
    <r>
      <rPr>
        <rFont val="Arial"/>
        <color rgb="FF1155CC"/>
        <sz val="10.0"/>
        <u/>
      </rPr>
      <t>https://www.vietcombank.com.vn/vi-VN/Trang-thong-tin-dien-tu/Articles/2024/06/24/20240624_mktbl_olympic-paris</t>
    </r>
    <r>
      <rPr>
        <rFont val="Arial"/>
        <sz val="10.0"/>
      </rPr>
      <t xml:space="preserve"> </t>
    </r>
  </si>
  <si>
    <t>5. Trụ cột Văn hóa</t>
  </si>
  <si>
    <t>44 (PTBV); web</t>
  </si>
  <si>
    <t>Chưa thấy số liệu chương trình khách hàng thân thiết toàn ngân hàng.</t>
  </si>
  <si>
    <t>Các chương trình thúc đẩy sự trung thành chưa được doanh nghiệp tích cực xem xét.</t>
  </si>
  <si>
    <t>Doanh nghiệp khuyến khích toàn bộ các bộ phận, đơn vị chức năng có liên quan đến khách hàng triển khai các hành động để thúc đẩy sự trung thành của khách hàng với thương hiệu.</t>
  </si>
  <si>
    <t>Một số bộ phận, đơn vị chức năng có hành động thực tế thúc đẩy sự trung thành của khách hàng với thương hiệu.</t>
  </si>
  <si>
    <t>Toàn bộ các bộ phận, đơn vị chức năng liên quan đến khách hàng có hành động thực tế thúc đẩy sự trung thành của khách hàng với thương hiệu.</t>
  </si>
  <si>
    <t>6. Trụ cột Dữ liệu</t>
  </si>
  <si>
    <t>Toàn bộ các bộ phận, đơn vị chức năng liên quan đến khách hàng và hệ sinh thái có hành động thực tế thúc đẩy sự trung thành của khách hàng với thương hiệu.</t>
  </si>
  <si>
    <t>Quản lý trải nghiệm khách hàng</t>
  </si>
  <si>
    <t>1.2.1</t>
  </si>
  <si>
    <t>Tầm nhìn về trải nghiệm khách hàng</t>
  </si>
  <si>
    <t>Mục tiêu 2025-2030 gồm 'được khách hàng ưa chuộng nhất' và 'dẫn đầu về chuyển đổi số'; chuyển đổi số hướng tới nâng cao chất lượng dịch vụ, trải nghiệm khách hàng; ESG xác định bảo vệ quyền lợi và nâng cao trải nghiệm khách hàng là chủ đề trọng yếu.</t>
  </si>
  <si>
    <t>15; 22 (PTBV)</t>
  </si>
  <si>
    <t>Doanh nghiệp chưa có bất kỳ tầm nhìn về trải nghiệm khách hàng.</t>
  </si>
  <si>
    <t>Một số bộ phận, đơn vị chức năng đã bắt đầu xác định tầm nhìn về trải nghiệm của khách hàng.</t>
  </si>
  <si>
    <t>Doanh nghiệp có một tầm nhìn về trải nghiệm khách hàng được xác định rõ ràng, được một số bộ phận, đơn vị chức năng áp dụng.</t>
  </si>
  <si>
    <t>Doanh nghiệp có tầm nhìn chung về trải nghiệm khách hàng được xác định rõ ràng và dễ hiểu.</t>
  </si>
  <si>
    <t>Doanh nghiệp và các đối tác trong hệ sinh thái của doanh nghiệp có tầm nhìn chung về trải nghiệm khách hàng được xác định rõ ràng và dễ hiểu.</t>
  </si>
  <si>
    <t>1.2.2</t>
  </si>
  <si>
    <t>Thiết kế theo định hướng của trải nghiệm khách hàng</t>
  </si>
  <si>
    <t>Ý kiến khách hàng được phân tích để cải tiến sản phẩm, quy trình (khảo sát đa kênh thời gian thực); tối ưu hành trình tổng đài, rút ngắn thời gian kết nối ~40%; số hóa quy trình tín dụng, giải ngân trực tuyến.</t>
  </si>
  <si>
    <t>19; 28</t>
  </si>
  <si>
    <t>Trải nghiệm khách hàng chưa được xem xét một cách có chủ ý.</t>
  </si>
  <si>
    <t>Trải nghiệm khách hàng được xem xét bởi ít nhất một bộ phận, đơn vị chức năng của doanh nghiệp trong việc thiết kế và triển khai các sản phẩm và dịch vụ.</t>
  </si>
  <si>
    <t>Trải nghiệm khách hàng được xem xét bởi hầu hết các bộ phận, đơn vị chức năng của doanh nghiệp trong việc thiết kế và triển khai các sản phẩm và dịch vụ.</t>
  </si>
  <si>
    <t>Trải nghiệm khách hàng được doanh nghiệp xem xét đầy đủ trong thiết kế và triển khai các sản phẩm và dịch vụ.</t>
  </si>
  <si>
    <t>Trải nghiệm của khách hàng được doanh nghiệp và các đối tác trong hệ sinh thái của doanh nghiệp xem xét đầy đủ trong quá trình thiết kế và triển khai các sản phẩm và dịch vụ.</t>
  </si>
  <si>
    <t>1.2.3</t>
  </si>
  <si>
    <t>Có ngân sách đầu tư để đạt các mục tiêu trải nghiệm khách hàng</t>
  </si>
  <si>
    <t>Chi R&amp;D 2025 đạt 2.300 tỷ đồng (+45,62% so với 2024); đầu tư đổi mới công nghệ bằng 6,67% lợi nhuận sau thuế.</t>
  </si>
  <si>
    <t>Đây là ngân sách đổi mới/công nghệ chung, chưa tách riêng cho trải nghiệm khách hàng.</t>
  </si>
  <si>
    <t>Doanh nghiệp chưa có kế hoạch đầu tư để đạt được tầm nhìn trải nghiệm của khách hàng.</t>
  </si>
  <si>
    <t>Ít nhất một đơn vị bộ phận, đơn vị chức năng trong doanh nghiệp lên kế hoạch đầu tư để đạt được tầm nhìn trải nghiệm khách hàng của mình.</t>
  </si>
  <si>
    <t>Hầu hết các bộ phận, đơn vị chức năng trong doanh nghiệp đều lên kế hoạch đầu tư để đạt được tầm nhìn về trải nghiệm khách hàng của họ.</t>
  </si>
  <si>
    <t>Toàn bộ bộ phận, đơn vị chức năng có liên quan đến khách hàng có kế hoạch đầu tư để đạt được tầm nhìn về trải nghiệm của khách hàng.</t>
  </si>
  <si>
    <t>Toàn bộ bộ phận, đơn vị chức năng có liên quan đến khách hàng và hệ sinh thái có kế hoạch đầu tư để đạt được tầm nhìn về trải nghiệm của khách hàng.</t>
  </si>
  <si>
    <t>1.2.4</t>
  </si>
  <si>
    <t>Phạm vi danh mục sản phẩm và dịch vụ</t>
  </si>
  <si>
    <t>Danh mục số đa dạng cho cá nhân và doanh nghiệp: VCB Digibank (~250 tiện ích), DigiBiz, CashUp, iCare, iSchool, Online Lending; năm 2025 nhiều giải pháp đạt Sao Khuê (VCB Digibank, iCare, Online Lending, CashUp Mobile, Tablet).</t>
  </si>
  <si>
    <t>BCTN 2025 Vietcombank; BC Phát triển bền vững 2025 Vietcombank</t>
  </si>
  <si>
    <t>24, 12</t>
  </si>
  <si>
    <t>TỔNG</t>
  </si>
  <si>
    <t>Trải nghiệm khách hàng chưa được xem xét trong phát triển danh mục sản phẩm và dịch vụ.</t>
  </si>
  <si>
    <t>Trải nghiệm khách hàng là một phần của danh mục sản phẩm và dịch vụ được cung cấp bởi ít nhất một bộ phận, đơn vị chức năng.</t>
  </si>
  <si>
    <t>Trải nghiệm khách hàng là một phần không thể thiếu trong danh mục sản phẩm và dịch vụ được cung cấp bởi hầu hết các bộ phận, đơn vị chức năng.</t>
  </si>
  <si>
    <t>Trải nghiệm khách hàng là một phần không thể thiếu trong danh mục sản phẩm và dịch vụ do doanh nghiệp cung cấp.</t>
  </si>
  <si>
    <t>Trải nghiệm của khách hàng là một phần không thể thiếu trong danh mục sản phẩm và dịch vụ do doanh nghiệp và các đối tác trong hệ sinh thái của doanh nghiệp cung cấp.</t>
  </si>
  <si>
    <t>1.2.5</t>
  </si>
  <si>
    <t>Quá trình đăng ký sử dụng sản phẩm và dịch vụ</t>
  </si>
  <si>
    <t>Đăng ký sản phẩm trên kênh số: mở tài khoản trực tuyến tích hợp sinh trắc học qua CCCD gắn chip/VNeID (từ 1/10/2024), phát hành thẻ ghi nợ phi vật lý trên eKYC (12/2025), đăng ký chữ ký số trên Digibank.</t>
  </si>
  <si>
    <r>
      <rPr>
        <rFont val="Arial"/>
        <sz val="10.0"/>
      </rPr>
      <t xml:space="preserve">BC Phát triển bền vững 2025 Vietcombank; </t>
    </r>
    <r>
      <rPr>
        <rFont val="Arial"/>
        <color rgb="FF1155CC"/>
        <sz val="10.0"/>
        <u/>
      </rPr>
      <t>https://vneconomy.vn/vietcombank-mo-tai-khoan-truc-tuyen-tich-hop-thong-tin-sinh-trac-hoc.htm</t>
    </r>
    <r>
      <rPr>
        <rFont val="Arial"/>
        <sz val="10.0"/>
      </rPr>
      <t xml:space="preserve"> ; </t>
    </r>
    <r>
      <rPr>
        <rFont val="Arial"/>
        <color rgb="FF1155CC"/>
        <sz val="10.0"/>
        <u/>
      </rPr>
      <t>https://bizhub.vietnamnews.vn/vneid-vcb-digibank-launch-remote-digital-signatures-post376174.html</t>
    </r>
    <r>
      <rPr>
        <rFont val="Arial"/>
        <sz val="10.0"/>
      </rPr>
      <t xml:space="preserve"> </t>
    </r>
  </si>
  <si>
    <t>Trải nghiệm của khách hàng chưa được đưa vào quá trình tiếp cận và giới thiệu đăng ký sản phẩm và dịch vụ cho khách hàng mới.</t>
  </si>
  <si>
    <t>Có ít nhất một bộ phận, đơn vị chức năng đưa trải nghiệm khách hàng vào quá trình tiếp cận và giới thiệu đăng ký sản phẩm và dịch vụ dành cho khách hàng mới.</t>
  </si>
  <si>
    <t>Hầu hết các bộ phận, đơn vị chức năng đưa trải nghiệm khách hàng vào quá trình tiếp cận và giới thiệu đăng ký sản phẩm và dịch vụ dành cho khách hàng mới.</t>
  </si>
  <si>
    <t>Toàn bộ doanh nghiệp đưa trải nghiệm khách hàng vào quá trình tiếp cận và giới thiệu đăng ký sản phẩm và dịch vụ dành cho khách hàng mới.</t>
  </si>
  <si>
    <t>Toàn bộ doanh nghiệp và hệ sinh thái của doanh nghiệp đưa trải nghiệm khách hàng được đưa vào quá trình tiếp cận và giới thiệu đăng ký sản phẩm và dịch vụ dành cho khách hàng mới.</t>
  </si>
  <si>
    <t>1.2.6</t>
  </si>
  <si>
    <t>Đa kênh hợp nhất</t>
  </si>
  <si>
    <t>Digibank kết nối trực tiếp tới tổng đài miễn phí; Digibot chuyển tiếp sang tư vấn viên; VCB Tablet hỗ trợ tại quầy.</t>
  </si>
  <si>
    <t>Level sai (khác 1–5 và N/A)</t>
  </si>
  <si>
    <t>BC Phát triển bền vững 2025 Vietcombank; Tin Vietcombank 2022: Vietcombank bước đầu sử dụng trợ lý ảo trong hoạt động chăm sóc khách hàng (VCB Digibot); BCTN 2025 Vietcombank</t>
  </si>
  <si>
    <t>19, 11</t>
  </si>
  <si>
    <t>Chưa thấy cam kết liền mạch bối cảnh hành trình trên mọi kênh/thiết bị.</t>
  </si>
  <si>
    <t>Khách hàng chưa thể bắt đầu hành trình trên một kênh/thiết bị và tiếp tục ở một kênh/thiết bị khác.</t>
  </si>
  <si>
    <t>Doanh nghiệp quản lý được bối cảnh của một số cấu phần trong hành trình khách hàng liên thông trên hầu hết các kênh và thiết bị.</t>
  </si>
  <si>
    <t>Doanh nghiệp quản lý được bối cảnh của hầu hết các hành trình khách hàng liên thông trên hầu hết các kênh và thiết bị.</t>
  </si>
  <si>
    <t>Doanh nghiệp quản lý được bối cảnh của toàn bộ các hành trình khách hàng liên thông trên tất cả các kênh và thiết bị.</t>
  </si>
  <si>
    <t>Doanh nghiệp và hệ sinh thái quản lý được bối cảnh của toàn bộ các hành trình khách hàng liên thông trên tất cả các kênh và thiết bị.</t>
  </si>
  <si>
    <t>1.2.7</t>
  </si>
  <si>
    <t>Đo lường trải nghiệm khách hàng</t>
  </si>
  <si>
    <t>Khảo sát hài lòng hằng quý trên nhiều kênh (Pop-up, OTT, QR) với 46 chương trình, ~1 triệu phản hồi; CSAT tổng đài trên 85%; tự động theo dõi và cảnh báo chỉ số chất lượng kênh.</t>
  </si>
  <si>
    <t>36-37; 48-49</t>
  </si>
  <si>
    <t>Hiệu suất hành trình khách hàng chưa được đo lường.</t>
  </si>
  <si>
    <t>Doanh nghiệp đo lường được hiệu quả của ít nhất một hành trình khách hàng và một số giai đoạn riêng lẻ trong hành trình của khách hàng. (Lưu ý: không phải khách hàng nào cũng đi đầy đủ toàn bộ hành trình, có một số khách hàng chỉ tham gia một vài giai đoạn trong hành trình khách hàng rồi kết thúc.)</t>
  </si>
  <si>
    <t>Doanh nghiệp đo lường được hiệu quả của tất cả hành trình khách hàng và một số giai đoạn riêng lẻ trong hành trình của khách hàng.</t>
  </si>
  <si>
    <t>Doanh nghiệp đo lường được hiệu quả của tất cả hành trình khách hàng và các giai đoạn riêng lẻ trong hành trình của khách hàng.</t>
  </si>
  <si>
    <t>Doanh nghiệp và hệ sinh thái đo lường được hiệu quả của tất cả hành trình khách hàng và các giai đoạn riêng lẻ trong hành trình của khách hàng.</t>
  </si>
  <si>
    <t>1.2.8</t>
  </si>
  <si>
    <t>Quản lý hành trình khách hàng</t>
  </si>
  <si>
    <t>Quản lý được hành trình tại kênh tổng đài: khảo sát chuyên sâu, tối ưu hành trình giúp giảm thời gian kết nối gần 40%.</t>
  </si>
  <si>
    <t>36-37</t>
  </si>
  <si>
    <t>Mới thấy một hành trình cụ thể.</t>
  </si>
  <si>
    <t>Hiệu suất của hành trình của khách hàng chưa được quản lý.</t>
  </si>
  <si>
    <t>Doanh nghiệp quản lý được hiệu quả của ít nhất một hành trình khách hàng và một số giai đoạn riêng lẻ trong hành trình của khách hàng. (Lưu ý: không phải khách hàng nào cũng đi đầy đủ toàn bộ hành trình, có một số khách hàng chỉ tham gia một vài giai đoạn trong hành trình khách hàng rồi kết thúc.)</t>
  </si>
  <si>
    <t>Doanh nghiệp quản lý được hiệu quả của tất cả hành trình khách hàng và một số giai đoạn riêng lẻ trong hành trình của khách hàng.</t>
  </si>
  <si>
    <t>Doanh nghiệp quản lý được hiệu quả của tất cả hành trình khách hàng và các giai đoạn riêng lẻ trong hành trình của khách hàng.</t>
  </si>
  <si>
    <t>Doanh nghiệp và hệ sinh thái quản lý được hiệu quả của tất cả hành trình khách hàng và các giai đoạn riêng lẻ trong hành trình của khách hàng.</t>
  </si>
  <si>
    <t>Thấu hiểu khách hàng</t>
  </si>
  <si>
    <t>1.3.1</t>
  </si>
  <si>
    <t>Góc nhìn 360 độ về khách hàng</t>
  </si>
  <si>
    <t>Chưa thấy công bố về góc nhìn 360 độ (Khối Dữ liệu mới thành lập 2025).</t>
  </si>
  <si>
    <t>Doanh nghiệp chưa có góc nhìn 360 độ về khách hàng.</t>
  </si>
  <si>
    <t>Doanh nghiệp duy trì góc nhìn 360 độ của một số khách hàng.</t>
  </si>
  <si>
    <t>Doanh nghiệp duy trì góc nhìn 360 độ của hầu hết khách hàng.</t>
  </si>
  <si>
    <t>Doanh nghiệp luôn duy trì góc nhìn 360 độ về tất cả khách hàng.</t>
  </si>
  <si>
    <t>Doanh nghiệp và các đối tác trong hệ sinh thái của mình luôn duy trì góc nhìn 360 độ về tất cả khách hàng.</t>
  </si>
  <si>
    <t>1.3.2</t>
  </si>
  <si>
    <t>Nguồn khai thác dữ liệu tin cậy duy nhất</t>
  </si>
  <si>
    <t>Chưa thấy công bố nguồn dữ liệu khách hàng tin cậy duy nhất.</t>
  </si>
  <si>
    <t>Có Level 1–5 nhưng thiếu Minh chứng</t>
  </si>
  <si>
    <t>Doanh nghiệp chưa có một nguồn tin cậy duy nhất cho bất kỳ thông tin nào của khách hàng.</t>
  </si>
  <si>
    <t>Có một nguồn tin cậy duy nhất cho một số yếu tố của thông tin khách hàng trong toàn doanh nghiệp.</t>
  </si>
  <si>
    <t>Có một nguồn tin cậy duy nhất cho hầu hết các yếu tố thông tin khách hàng trong toàn doanh nghiệp.</t>
  </si>
  <si>
    <t>Có một nguồn tin cậy duy nhất cho toàn bộ thông tin khách hàng trong toàn doanh nghiệp.</t>
  </si>
  <si>
    <t>Có một nguồn tin cậy duy nhất cho toàn bộ thông tin khách hàng trong toàn doanh nghiệp và các đối tác trong hệ sinh thái của doanh nghiệp.</t>
  </si>
  <si>
    <t>1.3.3</t>
  </si>
  <si>
    <t>Nhu cầu của khách hàng</t>
  </si>
  <si>
    <t>Khảo sát định kỳ hằng quý và 12 chương trình khảo sát chuyên sâu toàn hệ thống, gần 1 triệu phản hồi; phân tích nhu cầu để cải tiến sản phẩm và hành trình.</t>
  </si>
  <si>
    <t>Kỳ vọng, sở thích và những điều khách hàng chưa hài lòng chưa được tích cực xem xét.</t>
  </si>
  <si>
    <t>Kỳ vọng, sở thích và những điều khách hàng chưa hài lòng tích cực xem xét ở một số bộ phận, đơn vị chức năng.</t>
  </si>
  <si>
    <t>Kỳ vọng, sở thích và những điều khách hàng chưa hài lòng được tích cực xem xét trên hầu hết các bộ phận, đơn vị chức năng.</t>
  </si>
  <si>
    <t>Tất cả các kỳ vọng, sở thích và những điều khách hàng chưa hài lòng đều được tích cực xem xét trong toàn doanh nghiệp.</t>
  </si>
  <si>
    <t>Tất cả các kỳ vọng, sở thích và những điều khách hàng chưa hài lòng đều được tích cực xem xét trong toàn doanh nghiệp và các đối tác trong hệ sinh thái của doanh nghiệp.</t>
  </si>
  <si>
    <t>Niềm tin của khách hàng</t>
  </si>
  <si>
    <t>1.4.1</t>
  </si>
  <si>
    <t>Cam kết thương hiệu</t>
  </si>
  <si>
    <t>Sức khỏe thương hiệu cao nhất ngành (Mibrand, ~42 điểm; nhận biết 59%, giới thiệu 60%); thương hiệu có giá trị lớn nhất Việt Nam (Brand Finance 2,5 tỷ USD).</t>
  </si>
  <si>
    <t>Chương 1 - Dấu ấn</t>
  </si>
  <si>
    <t>Chưa ghi số trang cụ thể vì cần đối chiếu lại bản PDF; xem mục 'Dấu ấn' của BC PTBV.</t>
  </si>
  <si>
    <t>Cam kết về thương hiệu hiếm khi phù hợp với kỳ vọng của khách hàng.</t>
  </si>
  <si>
    <t>Một số bộ phận, đơn vị chức năng (có liên quan đến cam kết thương hiệu) trong doanh nghiệp đáp ứng các kỳ vọng của khách hàng phù hợp với cam kết thương hiệu của doanh nghiệp.</t>
  </si>
  <si>
    <t>Có Level 1–5 nhưng thiếu Nguồn</t>
  </si>
  <si>
    <t>Hầu hết bộ phận, đơn vị chức năng (có liên quan đến cam kết thương hiệu) trong doanh nghiệp đáp ứng các kỳ vọng của khách hàng phù hợp với cam kết thương hiệu của doanh nghiệp.</t>
  </si>
  <si>
    <t>Toàn bộ các bộ phận, đơn vị chức năng (có liên quan đến cam kết thương hiệu) trong doanh nghiệp đáp ứng các kỳ vọng của khách hàng phù hợp với cam kết thương hiệu của doanh nghiệp.</t>
  </si>
  <si>
    <t>Toàn bộ các bộ phận, đơn vị chức năng (có liên quan đến cam kết thương hiệu) trong doanh nghiệp và hệ sinh thái doanh nghiệp đáp ứng các kỳ vọng của khách hàng phù hợp với cam kết thương hiệu của doanh nghiệp.</t>
  </si>
  <si>
    <t>1.4.2</t>
  </si>
  <si>
    <t>Xử lý phản ánh khách hàng</t>
  </si>
  <si>
    <t>Trung tâm hỗ trợ khách hàng 24/7 xử lý ~3 triệu yêu cầu năm 2025, hài lòng trên 85%; khảo sát và tự động cảnh báo chất lượng kênh để cải tiến liên tục; hotline 1900 545413.</t>
  </si>
  <si>
    <t>BC Phát triển bền vững 2025 Vietcombank; Tin Vietcombank 22/10/2025: Vietcombank khuyến cáo về thủ đoạn giả mạo nhân viên ngân hàng để chiếm đoạt thông tin thẻ</t>
  </si>
  <si>
    <t>36-37 (PTBV); web</t>
  </si>
  <si>
    <t>Khiếu nại nhận được hiếm khi được trả lời hoặc rút kinh nghiệm một cách thích hợp.</t>
  </si>
  <si>
    <t>Một số khiếu nại nhận được được phản hồi một cách thích hợp và có những cải tiến liên quan.</t>
  </si>
  <si>
    <t>Hầu hết các khiếu nại nhận được đều được phản hồi một cách thích hợp và dẫn tới các cải tiến liên quan.</t>
  </si>
  <si>
    <t>Toàn bộ các khiếu nại nhận được đều được phản hồi một cách thích hợp và có sự cải tiến liên tục trong toàn doanh nghiệp.</t>
  </si>
  <si>
    <t>Toàn bộ các khiếu nại nhận được đều được phản hồi một cách thích hợp và có sự cải tiến liên tục trong toàn doanh nghiệp và các đối tác trong hệ sinh thái của doanh nghiệp.</t>
  </si>
  <si>
    <t>1.4.3</t>
  </si>
  <si>
    <t>Quyền riêng tư</t>
  </si>
  <si>
    <t>Duy trì ISO 27001:2022 liên tục từ 2014 và PCI DSS 4.0.1; bảo mật là yếu tố then chốt; đang triển khai Dự án Khung bảo vệ dữ liệu cá nhân.</t>
  </si>
  <si>
    <t>Mục tiêu: "Còn trống" = 0 và cả 3 ô kiểm tra = 0 trước khi nộp.</t>
  </si>
  <si>
    <t>48-49</t>
  </si>
  <si>
    <t>Khách hàng chưa tin tưởng doanh nghiệp sẽ đảm bảo quyền riêng tư của họ.</t>
  </si>
  <si>
    <t>Một số khách hàng tin tưởng doanh nghiệp sẽ thiết kế đảm bảo quyền riêng tư của họ.</t>
  </si>
  <si>
    <t>Hầu hết khách hàng tin tưởng doanh nghiệp sẽ thiết kế đảm bảo quyền riêng tư của họ.</t>
  </si>
  <si>
    <t>Toàn bộ khách hàng tin tưởng doanh nghiệp sẽ thiết kế đảm bảo quyền riêng tư của họ.</t>
  </si>
  <si>
    <t>Toàn bộ khách hàng tin tưởng doanh nghiệp và hệ sinh thái của doanh nghiệp sẽ thiết kế đảm bảo quyền riêng tư của họ.</t>
  </si>
  <si>
    <t>1.4.4</t>
  </si>
  <si>
    <t>Kiểm soát thông tin cá nhân, dữ liệu cá nhân</t>
  </si>
  <si>
    <t>Mới thấy dự án Khung bảo vệ dữ liệu cá nhân (PTBV tr.48-49); chưa thấy công cụ khách hàng tự kiểm soát việc dùng dữ liệu.</t>
  </si>
  <si>
    <t>Người dùng chưa thể kiểm soát cách thông tin cá nhân, dữ liệu cá nhân của họ được sử dụng.</t>
  </si>
  <si>
    <t>Người dùng có thể kiểm soát cách doanh nghiệp sử dụng một số thông tin cá nhân, dữ liệu cá nhân của họ.</t>
  </si>
  <si>
    <t>Người dùng có thể kiểm soát cách doanh nghiệp sử dụng hầu hết thông tin cá nhân, dữ liệu cá nhân của họ.</t>
  </si>
  <si>
    <t>Người dùng nhận thức được và có thể dễ dàng kiểm soát cách doanh nghiệp sử dụng tất cả thông tin cá nhân, dữ liệu cá nhân của họ.</t>
  </si>
  <si>
    <t>Người dùng biết và có thể dễ dàng kiểm soát cách doanh nghiệp và các đối tác trong hệ sinh thái sử dụng tất cả thông tin cá nhân, dữ liệu cá nhân của họ.</t>
  </si>
  <si>
    <t>1.4.5</t>
  </si>
  <si>
    <t>Thúc đẩy niềm tin khách hàng</t>
  </si>
  <si>
    <t>Giá trị cốt lõi 'Tin cậy - Chuẩn mực'; xếp hạng tín nhiệm ngang trần quốc gia từ S&amp;P, Moody's, Fitch; năm 2025 không ghi nhận vi phạm nghiêm trọng về pháp luật/quy định; khảo sát 94% khách hàng hài lòng.</t>
  </si>
  <si>
    <t>BC Phát triển bền vững 2025 Vietcombank; BCTN 2025 Vietcombank</t>
  </si>
  <si>
    <t>30-31; 38-39; 48-49 (PTBV); 6-7 (BCTN)</t>
  </si>
  <si>
    <t>Niềm tin của khách hàng chưa được đưa vào xem xét trong định hướng kinh doanh của doanh nghiệp.</t>
  </si>
  <si>
    <t>Một số bộ phận, đơn vị chức năng tiến hành kinh doanh theo cách thúc đẩy tạo niềm tin cho khách hàng.</t>
  </si>
  <si>
    <t>Hầu hết các bộ phận, đơn vị chức năng tiến hành kinh doanh theo cách thúc đẩy vào sự tin tưởng của khách hàng.</t>
  </si>
  <si>
    <t>Hoạt động kinh doanh được thực hiện bởi doanh nghiệp theo cách tối đa hóa niềm tin của khách hàng.</t>
  </si>
  <si>
    <t>Hoạt động kinh doanh được thực hiện bởi doanh nghiệp và các đối tác trong hệ sinh thái của doanh nghiệp theo cách tối đa hóa niềm tin của khách hàng.</t>
  </si>
  <si>
    <t>Quản lý marketing và thương hiệu</t>
  </si>
  <si>
    <t>2.1.1</t>
  </si>
  <si>
    <t>Chiến lược thương hiệu</t>
  </si>
  <si>
    <t>Chiến lược truyền thông, marketing, thương hiệu gắn với mục tiêu 2025-2030; thương hiệu số ghi nhận qua các giải thưởng số, nhưng chưa thấy tài liệu chiến lược thương hiệu số riêng.</t>
  </si>
  <si>
    <t>24-25 (BCTN); 28-29 (PTBV)</t>
  </si>
  <si>
    <t>Chiến lược thương hiệu số chưa tồn tại hoặc chỉ tồn tại theo sự vụ.</t>
  </si>
  <si>
    <t>Chiến lược thương hiệu số với nguyên tắc thương hiệu được áp dụng và hiểu tại một số bộ phận, đơn vị chức năng.</t>
  </si>
  <si>
    <t>Một chiến lược thương hiệu số với nguyên tắc thương hiệu được hiểu và áp dụng bởi hầu hết các bộ phận, đơn vị chức năng.</t>
  </si>
  <si>
    <t>Một chiến lược thương hiệu số với nguyên tắc thương hiệu được áp dụng và được hiểu trong toàn bộ doanh nghiệp.</t>
  </si>
  <si>
    <t>Một chiến lược thương hiệu số thống nhất với các nguyên tắc thương hiệu được áp dụng và được hiểu trong toàn bộ doanh nghiệp và các đối tác trong hệ sinh thái của doanh nghiệp.</t>
  </si>
  <si>
    <t>2.1.2</t>
  </si>
  <si>
    <t>Quản trị thương hiệu</t>
  </si>
  <si>
    <t>Chưa thấy cơ chế quản trị thương hiệu số công khai (mới có Sổ tay văn hóa, quy định ứng xử).</t>
  </si>
  <si>
    <t>Quản trị thương hiệu kỹ thuật số chưa tồn tại hoặc là tồn tại theo sự vụ.</t>
  </si>
  <si>
    <t>Một số bộ phận, đơn vị chức năng tuân thủ theo các quy tắc được thiết lập trong cấu trúc quản trị.</t>
  </si>
  <si>
    <t>Hầu hết các bộ phận, đơn vị chức năng tuân thủ các quy tắc được thiết lập trong cấu trúc quản trị.</t>
  </si>
  <si>
    <t>Toàn bộ doanh nghiệp tuân thủ các quy tắc được thiết lập trong cơ cấu quản trị.</t>
  </si>
  <si>
    <t>Toàn bộ doanh nghiệp và các đối tác trong hệ sinh thái của doanh nghiệp tuân thủ các quy tắc được thiết lập trong cơ cấu quản trị.</t>
  </si>
  <si>
    <t>2.1.3</t>
  </si>
  <si>
    <t>Chỉ số đo lường thương hiệu</t>
  </si>
  <si>
    <t>Thương hiệu được đo bằng các bảng xếp hạng độc lập (Mibrand Brand Health, Kantar BrandZ, Brand Finance).</t>
  </si>
  <si>
    <t>Là chỉ số bên ngoài; chưa thấy quy trình nội bộ đo thương hiệu số.</t>
  </si>
  <si>
    <t>Chỉ số phản ánh hoạt động của thương hiệu số được đo lường theo sự vụ.</t>
  </si>
  <si>
    <t>Có một quy trình được thực hiện ở một số bộ phận, đơn vị chức năng để đo lường chỉ số phản ánh hoạt động của thương hiệu số.</t>
  </si>
  <si>
    <t>Có một quy trình được áp dụng trên hầu hết các bộ phận, đơn vị chức năng để đo lường chỉ số phản ánh hoạt động của thương hiệu số.</t>
  </si>
  <si>
    <t>Có một quy trình hiệu quả trong toàn bộ doanh nghiệp để đo lường chỉ số phản ánh hoạt động của thương hiệu số.</t>
  </si>
  <si>
    <t>Có một quy trình hiệu quả được áp dụng trong toàn bộ doanh nghiệp và các đối tác trong hệ sinh thái của doanh nghiệp để đo lường chỉ số phản ánh hoạt động của thương hiệu số.</t>
  </si>
  <si>
    <t>2.1.4</t>
  </si>
  <si>
    <t>Chiến lược tiếp thị</t>
  </si>
  <si>
    <t>Định hướng 2026: nâng cao hiệu quả truyền thông, marketing, quan hệ nhà đầu tư; đẩy mạnh gói sản phẩm tích hợp, bán chéo.</t>
  </si>
  <si>
    <t>BCTN 2025 Vietcombank</t>
  </si>
  <si>
    <t>24-25; 40-41</t>
  </si>
  <si>
    <t>Chưa thấy tài liệu chiến lược tiếp thị số riêng.</t>
  </si>
  <si>
    <t>Chiến lược tiếp thị số chưa phù hợp với chiến lược tổng thể.</t>
  </si>
  <si>
    <t>Một số bộ phận, đơn vị chức năng có chiến lược tiếp thị số phù hợp với chiến lược tổng thể.</t>
  </si>
  <si>
    <t>Hầu hết các bộ phận, đơn vị chức năng đều có chiến lược tiếp thị số phù hợp với chiến lược tổng thể.</t>
  </si>
  <si>
    <t>Toàn bộ doanh nghiệp có chiến lược tiếp thị số phù hợp với chiến lược tổng thể.</t>
  </si>
  <si>
    <t>Toàn bộ doanh nghiệp và các đối tác trong hệ sinh thái của doanh nghiệp thống nhất về chiến lược tiếp thị số phù hợp với chiến lược hệ sinh thái tổng thể.</t>
  </si>
  <si>
    <t>Quản lý hệ sinh thái</t>
  </si>
  <si>
    <t>2.2.1</t>
  </si>
  <si>
    <t>Hệ sinh thái kinh doanh</t>
  </si>
  <si>
    <t>Coi việc kết nối, mở rộng hệ sinh thái Vietcombank với hệ sinh thái đối tác là nhiệm vụ trọng tâm năm 2026; chiến lược hợp tác Fintech trong kế hoạch chuyển đổi; tọa đàm 'Tăng tốc phát triển hệ sinh thái ngân hàng số' (12/2025).</t>
  </si>
  <si>
    <t>BCTN 2025 Vietcombank; Tin Vietcombank 15/5/2025: [Kỷ yếu Búa liềm vàng] Kỳ 2: Thời kỳ vàng để chuyển đổi số nhanh, toàn diện và bao trùm</t>
  </si>
  <si>
    <t>40-41; 70-71 (BCTN); web</t>
  </si>
  <si>
    <t>Doanh nghiệp chưa nhận thức được giá trị kinh doanh của việc tham gia hệ sinh thái.</t>
  </si>
  <si>
    <t>Doanh nghiệp thể hiện sự hiểu biết một phần về giá trị của việc tham gia hệ sinh thái và vai trò của doanh nghiệp trong đó.</t>
  </si>
  <si>
    <t>Doanh nghiệp thể hiện sự hiểu biết đầy đủ về giá trị của việc tham gia hệ sinh thái và vai trò của doanh nghiệp trong đó.</t>
  </si>
  <si>
    <t>Doanh nghiệp thể hiện sự hiểu biết đầy đủ về giá trị và đã bắt đầu xác định chiến lược tham gia hệ sinh thái và vai trò của doanh nghiệp trong đó.</t>
  </si>
  <si>
    <t>Doanh nghiệp thể hiện sự hiểu biết đầy đủ về giá trị của việc tham gia hệ sinh thái và đã xác định chiến lược hệ sinh thái và vai trò của doanh nghiệp trong đó.</t>
  </si>
  <si>
    <t>2.2.2</t>
  </si>
  <si>
    <t>Thiết kế hệ sinh thái</t>
  </si>
  <si>
    <t>Thiết kế hệ sinh thái số quanh Digibank/DigiBiz/CashUp: y tế (iCare gần 600 bệnh viện), giáo dục (iSchool), thanh toán QR xuyên biên giới (VietQRGlobal), giao thông (ePass).</t>
  </si>
  <si>
    <t>BCTN 2025 Vietcombank; Tin Vietcombank 24/10/2025: Vietcombank là ngân hàng đầu tiên liên kết trực tiếp với tài khoản giao thông ePass; Tin Vietcombank 26/11/2025: Lễ ký kết thỏa thuận hợp tác toàn diện giữa Vietcombank Sở giao dịch và Bệnh viện E</t>
  </si>
  <si>
    <t>38-39 (BCTN); web</t>
  </si>
  <si>
    <t>Doanh nghiệp chưa bắt đầu thiết kế hệ sinh thái.</t>
  </si>
  <si>
    <t>Doanh nghiệp đã bắt đầu thiết kế các hệ sinh thái để thúc đẩy chiến lược của mình.</t>
  </si>
  <si>
    <t>Doanh nghiệp đã thiết kế các hệ sinh thái để thúc đẩy chiến lược của mình nhằm gia tăng các dòng giá trị hiện có.</t>
  </si>
  <si>
    <t>Doanh nghiệp đã thiết kế các hệ sinh thái bền vững và mở rộng chiến lược của mình để tập trung vượt ra ngoài lĩnh vực hoạt động, mở ra các luồng giá trị mới.</t>
  </si>
  <si>
    <t>Doanh nghiệp đã thiết kế các hệ sinh thái bền vững và mở rộng chiến lược của mình bằng cách triển khai các năng lực liên ngành cho phép tạo ra các luồng giá trị mới.</t>
  </si>
  <si>
    <t>2.2.3</t>
  </si>
  <si>
    <t>Lựa chọn đối tác</t>
  </si>
  <si>
    <t>Chọn đối tác ngoài ngành truyền thống: Viettel ePass (ngân hàng đầu tiên liên kết trực tiếp), Bộ Công an (VNeID, xác thực điện tử), bệnh viện, FPT AI, Mizuho (cổ đông chiến lược).</t>
  </si>
  <si>
    <t>Tin Vietcombank 24/10/2025: Vietcombank là ngân hàng đầu tiên liên kết trực tiếp với tài khoản giao thông ePass; Bizhub 22/5/2025: VNeID, VCB Digibank launch remote digital signatures; Báo Chính phủ 1/7/2024: Vietcombank là ngân hàng đầu tiên khai thác Dịch vụ xác thực điện tử của Bộ Công an; Tin Vietcombank 26/11/2025: Lễ ký kết thỏa thuận hợp tác toàn diện giữa Vietcombank Sở giao dịch và Bệnh viện E; BCTN 2025 Vietcombank</t>
  </si>
  <si>
    <t>web; 30-31 (BCTN)</t>
  </si>
  <si>
    <t>Doanh nghiệp chưa chọn đối tác như một phần của hệ sinh thái.</t>
  </si>
  <si>
    <t>Doanh nghiệp đã chọn các đối tác hệ sinh thái để hỗ trợ chiến lược của mình.</t>
  </si>
  <si>
    <t>Doanh nghiệp đã thiết lập quan hệ đối tác hệ sinh thái đang hỗ trợ chiến lược của mình.</t>
  </si>
  <si>
    <t>Doanh nghiệp đã thiết lập quan hệ đối tác hệ sinh thái tối ưu nâng cao chiến lược của mình ngoài ngành truyền thống (ngành lĩnh vực đang hoạt động của doanh nghiệp).</t>
  </si>
  <si>
    <t>Doanh nghiệp đã thiết lập quan hệ đối tác hệ sinh thái tối ưu và triển khai các năng lực liên ngành, tạo điều kiện cho các luồng giá trị mới.</t>
  </si>
  <si>
    <t>Bảo trợ tài chính</t>
  </si>
  <si>
    <t>2.3.1</t>
  </si>
  <si>
    <t>Ngân sách cho chuyển đổi số</t>
  </si>
  <si>
    <t>Chi R&amp;D 2025 đạt 2.300 tỷ đồng (+45,62%); đầu tư đổi mới công nghệ bằng 6,67% lợi nhuận sau thuế (năm 2024: 4,77%).</t>
  </si>
  <si>
    <t>50-51</t>
  </si>
  <si>
    <t>Doanh nghiệp chưa có ngân sách cho chuyển đổi số.</t>
  </si>
  <si>
    <t>Ngân sách sẵn có và linh hoạt để chuyển đổi số ở một số bộ phận, đơn vị chức năng.</t>
  </si>
  <si>
    <t>Ngân sách sẵn có và linh hoạt để chuyển đổi số trên hầu hết các bộ phận, đơn vị chức năng.</t>
  </si>
  <si>
    <t>Ngân sách luôn sẵn sàng và linh hoạt để chuyển đổi số trên toàn bộ doanh nghiệp.</t>
  </si>
  <si>
    <t>Ngân sách luôn sẵn sàng và linh hoạt để chuyển đổi số trên toàn bộ doanh nghiệp và các đối tác trong hệ sinh thái của doanh nghiệp.</t>
  </si>
  <si>
    <t>2.3.2</t>
  </si>
  <si>
    <t>Đo lường hiệu quả đầu tư</t>
  </si>
  <si>
    <t>Chỉ tiêu đo lường mục tiêu 'Dẫn đầu về chuyển đổi số' được theo dõi (tỷ lệ giao dịch kênh số, tỷ lệ STP vượt kế hoạch 2030); theo dõi tỷ lệ đầu tư công nghệ/LNST.</t>
  </si>
  <si>
    <t>36-37 (BCTN); 50-51 (PTBV)</t>
  </si>
  <si>
    <t>KPI đánh giá các quyết định đầu tư chỉ được thiết lập theo sự vụ.</t>
  </si>
  <si>
    <t>Một số bộ phận, đơn vị chức năng có sẵn KPIs để đánh giá các quyết định đầu tư.</t>
  </si>
  <si>
    <t>Hầu hết bộ phận, đơn vị chức năng sử dụng KPIs để đánh giá các quyết định đầu tư.</t>
  </si>
  <si>
    <t>KPI để đánh giá các quyết định đầu tư được sử dụng trên toàn bộ doanh nghiệp.</t>
  </si>
  <si>
    <t>KPI để đánh giá các quyết định đầu tư được sử dụng trên toàn bộ doanh nghiệp và các đối tác trong hệ sinh thái của doanh nghiệp.</t>
  </si>
  <si>
    <t>2.3.3</t>
  </si>
  <si>
    <t>Đầu tư cải tiến liên tục</t>
  </si>
  <si>
    <t>Chưa thấy công bố việc cải tiến quyết định đầu tư dựa trên kết quả trước.</t>
  </si>
  <si>
    <t>Quyết định đầu tư chưa được cải thiện dựa trên kết quả trong quá khứ.</t>
  </si>
  <si>
    <t>Quyết định đầu tư được cải thiện tại một số bộ phận, đơn vị chức năng.</t>
  </si>
  <si>
    <t>Các quyết định đầu tư liên tục được cải thiện trên hầu hết các bộ phận, đơn vị chức năng.</t>
  </si>
  <si>
    <t>Các quyết định đầu tư liên tục được cải thiện trong toàn doanh nghiệp.</t>
  </si>
  <si>
    <t>Các quyết định đầu tư liên tục được cải thiện trong toàn doanh nghiệp và các đối tác trong hệ sinh thái của nó.</t>
  </si>
  <si>
    <t>Hiểu biết về thị trường</t>
  </si>
  <si>
    <t>2.4.1</t>
  </si>
  <si>
    <t>Đánh giá xu hướng ngành</t>
  </si>
  <si>
    <t>Tổ chức tọa đàm, báo cáo vĩ mô và triển vọng ngành (VCB, ADB, Mizuho...); HĐQT/BĐH học các khóa 'Leading Digital and AI Transformation' (IMD, 9/2025) để định hướng chiến lược số.</t>
  </si>
  <si>
    <t>68-71</t>
  </si>
  <si>
    <t>Đánh giá xu hướng ngành chỉ được thực hiện theo sự vụ.</t>
  </si>
  <si>
    <t>Một số bộ phận, đơn vị chức năng đánh giá xu hướng ngành để thúc đẩy chiến lược số của họ.</t>
  </si>
  <si>
    <t>Hầu hết các bộ phận, đơn vị chức năng đánh giá xu hướng ngành để thúc đẩy chiến lược số của họ.</t>
  </si>
  <si>
    <t>Toàn bộ doanh nghiệp đánh giá xu hướng ngành để thúc đẩy chiến lược số của mình.</t>
  </si>
  <si>
    <t>Toàn bộ doanh nghiệp và các đối tác trong hệ sinh thái của doanh nghiệp đánh giá xu hướng ngành để thúc đẩy chiến lược số của họ.</t>
  </si>
  <si>
    <t>2.4.2</t>
  </si>
  <si>
    <t>Đánh giá nhu cầu của khách hàng</t>
  </si>
  <si>
    <t>Khảo sát khách hàng định kỳ và chuyên sâu để phân tích nhu cầu, tối ưu hành trình và sản phẩm.</t>
  </si>
  <si>
    <t>Phân tích nhu cầu của khách hàng chỉ được thực hiện theo sự vụ.</t>
  </si>
  <si>
    <t>Một số bộ phận, đơn vị chức năng phân tích nhu cầu của khách hàng để thúc đẩy chiến lược số của họ.</t>
  </si>
  <si>
    <t>Hầu hết các bộ phận, đơn vị chức năng phân tích nhu cầu của khách hàng để thúc đẩy chiến lược số của họ.</t>
  </si>
  <si>
    <t>Toàn bộ doanh nghiệp phân tích và dự đoán nhu cầu của khách hàng để thúc đẩy chiến lược số của mình.</t>
  </si>
  <si>
    <t>Toàn bộ doanh nghiệp và các đối tác trong hệ sinh thái của mình phân tích và dự đoán nhu cầu của khách hàng để thúc đẩy chiến lược số của họ.</t>
  </si>
  <si>
    <t>2.4.3</t>
  </si>
  <si>
    <t>Đánh giá mạng lưới giá trị</t>
  </si>
  <si>
    <t>Chưa thấy công bố phân tích mạng lưới giá trị.</t>
  </si>
  <si>
    <t>Đánh giá kết cấu giá trị chỉ được thực hiện theo sự vụ.</t>
  </si>
  <si>
    <t>Một số bộ phận, đơn vị chức năng phân tích mạng lưới giá trị để thúc đẩy chiến lược số của họ.</t>
  </si>
  <si>
    <t>Hầu hết các bộ phận, đơn vị chức năng phân tích mạng lưới giá trị để thúc đẩy chiến lược số của họ.</t>
  </si>
  <si>
    <t>Toàn bộ doanh nghiệp phân tích và dự đoán mạng lưới giá trị để thúc đẩy chiến lược số của mình.</t>
  </si>
  <si>
    <t>Toàn bộ doanh nghiệp và các đối tác trong hệ sinh thái của doanh nghiệp phân tích và dự đoán mạng lưới giá trị để thúc đẩy chiến lược số của họ.</t>
  </si>
  <si>
    <t>Quản lý danh mục sản phẩm, dịch vụ số</t>
  </si>
  <si>
    <t>2.5.1</t>
  </si>
  <si>
    <t>Cân đối danh mục sản phẩm và dịch vụ</t>
  </si>
  <si>
    <t>Chuyển dịch cơ cấu kinh doanh: tăng thu dịch vụ và tiền gửi không kỳ hạn qua sản phẩm trên nền tảng số; tín dụng bán lẻ ~51% dư nợ; chuyển sang gói sản phẩm tích hợp.</t>
  </si>
  <si>
    <t>38-39; 42-43; 24-25</t>
  </si>
  <si>
    <t>Cân bằng danh mục đầu tư chỉ được thực hiện theo sự vụ.</t>
  </si>
  <si>
    <t>Một số bộ phận, đơn vị chức năng có danh mục sản phẩm và dịch vụ số phù hợp một phần với chiến lược của doanh nghiệp.</t>
  </si>
  <si>
    <t>Hầu hết các bộ phận, đơn vị chức năng đều có danh mục sản phẩm và dịch vụ số cân bằng, phù hợp nhất với chiến lược của doanh nghiệp.</t>
  </si>
  <si>
    <t>Toàn bộ doanh nghiệp có một danh mục sản phẩm và dịch vụ số cân bằng phù hợp nhất với chiến lược của mình.</t>
  </si>
  <si>
    <t>Toàn bộ doanh nghiệp và các đối tác trong hệ sinh thái của doanh nghiệp có một danh mục sản phẩm và dịch vụ số cân bằng, phù hợp nhất với chiến lược chung của mình.</t>
  </si>
  <si>
    <t>2.5.2</t>
  </si>
  <si>
    <t>Lộ trình danh mục sản phẩm và dịch vụ</t>
  </si>
  <si>
    <t>Kế hoạch hành động chuyển đổi (hơn 300 sáng kiến, 4 trụ cột Digital-Data-Technology-Transformation) và 6 đột phá 2026 làm lộ trình danh mục sản phẩm.</t>
  </si>
  <si>
    <t>Tin Vietcombank 15/5/2025: [Kỷ yếu Búa liềm vàng] Kỳ 2: Thời kỳ vàng để chuyển đổi số nhanh, toàn diện và bao trùm; BCTN 2025 Vietcombank</t>
  </si>
  <si>
    <t>web; 24-25; 40-41 (BCTN)</t>
  </si>
  <si>
    <t>Lộ trình danh mục đầu tư chỉ được thực hiện theo sự vụ.</t>
  </si>
  <si>
    <t>Một số bộ phận, đơn vị chức năng có lộ trình danh mục sản phẩm và dịch vụ số phù hợp một phần với chiến lược của doanh nghiệp.</t>
  </si>
  <si>
    <t>Hầu hết các bộ phận, đơn vị chức năng đều có lộ trình danh mục sản phẩm và dịch vụ số phù hợp nhất với chiến lược của doanh nghiệp.</t>
  </si>
  <si>
    <t>Toàn bộ doanh nghiệp có lộ trình danh mục sản phẩm và dịch vụ số phù hợp nhất với chiến lược của mình.</t>
  </si>
  <si>
    <t>Doanh nghiệp và các đối tác trong hệ sinh thái của doanh nghiệp có một lộ trình danh mục các sản phẩm và dịch vụ số phù hợp nhất với chiến lược chung của mình.</t>
  </si>
  <si>
    <t>2.5.3</t>
  </si>
  <si>
    <t>Đổi mới danh mục sản phẩm và dịch vụ</t>
  </si>
  <si>
    <t>Thành lập Trung tâm Đổi mới sáng tạo (3/2025) với Idea Challenge Forum, Box Ý tưởng; năm 2025 ra mắt nhiều giải pháp mới (Online Lending, ký số trên Digibank, liên kết ePass, VietQRGlobal).</t>
  </si>
  <si>
    <t>50-51 (PTBV); 38-39 (BCTN)</t>
  </si>
  <si>
    <t>Đổi mới danh mục đầu tư chỉ được thực hiện theo sự vụ.</t>
  </si>
  <si>
    <t>Một số bộ phận, đơn vị chức năng có quy trình đổi mới danh mục sản phẩm và dịch vụ phù hợp một phần với chiến lược của doanh nghiệp.</t>
  </si>
  <si>
    <t>Hầu hết các bộ phận, đơn vị chức năng đều có quy trình đổi mới danh mục sản phẩm và dịch vụ phù hợp với chiến lược của doanh nghiệp.</t>
  </si>
  <si>
    <t>Toàn bộ doanh nghiệp có một quy trình đổi mới danh mục sản phẩm và dịch vụ phù hợp nhất với chiến lược của mình.</t>
  </si>
  <si>
    <t>Toàn bộ doanh nghiệp và các đối tác trong hệ sinh thái của doanh nghiệp có một quy trình đổi mới danh mục sản phẩm và dịch vụ phù hợp nhất với chiến lược chung của mình.</t>
  </si>
  <si>
    <t>Quản lý chiến lược</t>
  </si>
  <si>
    <t>2.6.1</t>
  </si>
  <si>
    <t>Chiến lược phù hợp với tầm nhìn</t>
  </si>
  <si>
    <t>Chiến lược 2025-2030 gắn tầm nhìn: số 1 Việt Nam, top 200 tập đoàn tài chính lớn nhất thế giới, top 700 doanh nghiệp niêm yết toàn cầu, mục tiêu 'dẫn đầu về chuyển đổi số'.</t>
  </si>
  <si>
    <t>22-23 (BCTN); 28-29 (PTBV)</t>
  </si>
  <si>
    <t>Doanh nghiệp chưa có tầm nhìn rõ ràng.</t>
  </si>
  <si>
    <t>Doanh nghiệp có một tầm nhìn và đang bắt đầu phát triển một chiến lược phù hợp.</t>
  </si>
  <si>
    <t>Doanh nghiệp có một chiến lược rõ ràng hầu hết phù hợp với tầm nhìn.</t>
  </si>
  <si>
    <t>Doanh nghiệp có một chiến lược rõ ràng hoàn toàn phù hợp với tầm nhìn.</t>
  </si>
  <si>
    <t>Doanh nghiệp và các đối tác trong hệ sinh thái của doanh nghiệp có một chiến lược rõ ràng hoàn toàn phù hợp với tầm nhìn.</t>
  </si>
  <si>
    <t>2.6.2</t>
  </si>
  <si>
    <t>Đồng bộ giữa các nhóm kinh doanh/nghiệp vụ và kỹ thuật</t>
  </si>
  <si>
    <t>Cơ cấu có Khối CNTT &amp; Chuyển đổi số, Khối Dữ liệu cùng các Khối kinh doanh; dự án chuyển đổi trọng điểm do lãnh đạo khối kinh doanh và TSC cùng triển khai.</t>
  </si>
  <si>
    <t>BCTN 2025 Vietcombank; Tin Vietcombank 16/6/2025: Lễ khởi động Dự án 'Tư vấn triển khai hệ thống phòng chống gian lận cho giao dịch thẻ, giao dịch NHĐT của KHCN'</t>
  </si>
  <si>
    <t>18-19 (BCTN); web</t>
  </si>
  <si>
    <t>Thiếu bằng chứng về cơ chế đồng phát triển chiến lược; chấm 3 theo mức hiện diện cơ cấu.</t>
  </si>
  <si>
    <t>Hoạt động phối hợp xây dựng chiến lược doanh nghiệp giữa bộ phận (kinh doanh, kỹ thuật, khách hàng...) thuật chỉ được thực hiện theo sự vụ.</t>
  </si>
  <si>
    <t>Chiến lược doanh nghiệp đang bắt đầu được đồng phát triển giữa các nhóm kinh doanh/ nghiệp vụ và công nghệ.</t>
  </si>
  <si>
    <t>Chiến lược doanh nghiệp được đồng phát triển giữa các nhóm kinh doanh/nghiệp vụ và công nghệ trên các bộ phận, đơn vị chức năng cốt lõi.</t>
  </si>
  <si>
    <t>Chiến lược doanh nghiệp liên tục được tối ưu hóa giữa các nhóm nhóm kinh doanh/ nghiệp vụ và công nghệ trong toàn doanh nghiệp.</t>
  </si>
  <si>
    <t>Chiến lược doanh nghiệp liên tục được tối ưu hóa giữa các nhóm kinh doanh/ nghiệp vụ và công nghệ trong toàn doanh nghiệp và các đối tác trong hệ sinh thái của doanh nghiệp.</t>
  </si>
  <si>
    <t>2.6.3</t>
  </si>
  <si>
    <t>Đo lường các chỉ số</t>
  </si>
  <si>
    <t>Hoàn thành mọi chỉ tiêu quan trọng về an toàn, tín nhiệm, môi trường làm việc, chuyển đổi số và ESG; chỉ tiêu tỷ lệ giao dịch kênh số, STP vượt kế hoạch 2025 và 2030.</t>
  </si>
  <si>
    <t>Đo lường hiệu quả cho các mục tiêu chiến lược chỉ được thực hiện theo sự vụ.</t>
  </si>
  <si>
    <t>Một số bộ phận, đơn vị chức năng thực hiện các biện pháp đo lường kết quả các mục tiêu chiến lược.</t>
  </si>
  <si>
    <t>Hầu hết các bộ phận, đơn vị chức năng thực hiện toàn diện các biện pháp để đo lường kết quả các mục tiêu chiến lược.</t>
  </si>
  <si>
    <t>Toàn bộ các bộ phận, đơn vị chức năng thực hiện toàn diện các biện pháp phù hợp để đo lường kết quả các mục tiêu chiến lược.</t>
  </si>
  <si>
    <t>Toàn bộ các bộ phận, đơn vị chức năng và đối tác trong hệ sinh thái thực hiện toàn diện các biện pháp phù hợp để đo lường kết quả các mục tiêu chiến lược.</t>
  </si>
  <si>
    <t>2.6.4</t>
  </si>
  <si>
    <t>Quản lý rủi ro</t>
  </si>
  <si>
    <t>Khung quản trị rủi ro toàn diện; CAR 11,56% (trên ngưỡng khẩu vị rủi ro 9%); đăng ký sớm áp dụng Thông tư 14/2025, áp dụng phương pháp tiêu chuẩn Basel III từ 3/2026; Ủy ban Quản lý rủi ro thuộc HĐQT.</t>
  </si>
  <si>
    <t>6-7; 42-43; 64-65; 84-93</t>
  </si>
  <si>
    <t>Trang 84-93 là khoảng của chương Quản trị rủi ro (theo mục lục).</t>
  </si>
  <si>
    <t>Doanh nghiệp chưa có chiến lược quản lý rủi ro rõ ràng.</t>
  </si>
  <si>
    <t>Một chiến lược quản lý rủi ro đang bắt đầu được phát triển ở một số bộ phận, đơn vị chức năng.</t>
  </si>
  <si>
    <t>Một chiến lược quản lý rủi ro được áp dụng trên hầu hết các bộ phận, đơn vị chức năng.</t>
  </si>
  <si>
    <t>Một chiến lược quản lý rủi ro được thông qua bởi doanh nghiệp.</t>
  </si>
  <si>
    <t>Một chiến lược quản lý rủi ro chung được thông qua bởi doanh nghiệp và các đối tác hệ sinh thái của doanh nghiệp.</t>
  </si>
  <si>
    <t>2.6.5</t>
  </si>
  <si>
    <t>Lộ trình chuyển đổi</t>
  </si>
  <si>
    <t>Đẩy mạnh triển khai Kế hoạch hành động chuyển đổi đạt kết quả tích cực; hoàn thành 05 mục tiêu chuyển đổi số ngành ngân hàng theo QĐ 810/QĐ-NHNN.</t>
  </si>
  <si>
    <t>38-39; 44-45 (BCTN); web</t>
  </si>
  <si>
    <t>Doanh nghiệp chưa có lộ trình chuyển đổi rõ ràng.</t>
  </si>
  <si>
    <t>Một số bộ phận, đơn vị chức năng đang thực hiện lộ trình chuyển đổi</t>
  </si>
  <si>
    <t>Hầu hết các bộ phận, đơn vị chức năng đang thực hiện một lộ trình chuyển đổi nhất quán.</t>
  </si>
  <si>
    <t>Toàn bộ doanh nghiệp đang thực hiện một lộ trình chuyển đổi nhất quán.</t>
  </si>
  <si>
    <t>Toàn bộ doanh nghiệp và các đối tác trong hệ sinh thái của doanh nghiệp đang thực hiện một lộ trình chuyển đổi nhất quán.</t>
  </si>
  <si>
    <t>2.6.6</t>
  </si>
  <si>
    <t>Áp dụng chiến lược chuyển đổi số</t>
  </si>
  <si>
    <t>Khảo sát nhân viên 2025: 93,22% đồng ý 'Vietcombank có định hướng và hướng dẫn cụ thể trong thực thi chiến lược chuyển đổi số, đổi mới sáng tạo và ESG'.</t>
  </si>
  <si>
    <t>38-39</t>
  </si>
  <si>
    <t>Truyền thông về chiến lược chuyển đổi số chưa được hiểu rõ.</t>
  </si>
  <si>
    <t>Chiến lược số được áp dụng ở một số bộ phận, đơn vị chức năng.</t>
  </si>
  <si>
    <t>Chiến lược số được áp dụng đầy đủ trên hầu hết các bộ phận, đơn vị chức năng.</t>
  </si>
  <si>
    <t>Chiến lược số được áp dụng đầy đủ trong toàn doanh nghiệp.</t>
  </si>
  <si>
    <t>Chiến lược số được chấp nhận hoàn toàn trong toàn doanh nghiệp và các đối tác trong hệ sinh thái của doanh nghiệp.</t>
  </si>
  <si>
    <t>2.6.7</t>
  </si>
  <si>
    <t>Quản trị chuyển đổi</t>
  </si>
  <si>
    <t>Chương trình Kế hoạch hành động chuyển đổi (TAP) dùng chung có tư vấn bên ngoài; thành lập Khối Dữ liệu, Trung tâm Đổi mới sáng tạo trong năm 2025.</t>
  </si>
  <si>
    <t>Tạp chí Thị trường Tài chính Tiền tệ 3/3/2023: Vietcombank chuyển mình mạnh mẽ với 'Thanh toán số'; BCTN 2025 Vietcombank; BC Phát triển bền vững 2025 Vietcombank</t>
  </si>
  <si>
    <t>web; 44-45 (BCTN); 50-51 (PTBV)</t>
  </si>
  <si>
    <t>Chưa thấy mô tả mô hình quản trị chuyển đổi chi tiết.</t>
  </si>
  <si>
    <t>Quản trị chuyển đổi chỉ được thực hiện theo sự vụ.</t>
  </si>
  <si>
    <t>Một số bộ phận, đơn vị chức năng đã áp dụng mô hình quản trị chuyển đổi số chung.</t>
  </si>
  <si>
    <t>Hầu hết các bộ phận, đơn vị chức năng đã áp dụng một mô hình quản trị chuyển đổi số chung.</t>
  </si>
  <si>
    <t>Toàn bộ doanh nghiệp đã áp dụng một mô hình quản trị chuyển đổi số phổ biến và mạnh mẽ.</t>
  </si>
  <si>
    <t>Toàn bộ doanh nghiệp và các đối tác trong hệ sinh thái của doanh nghiệp đã áp dụng mô hình quản trị chuyển đổi số nhất quán và mạnh mẽ.</t>
  </si>
  <si>
    <t>2.6.8</t>
  </si>
  <si>
    <t>Nhận diện và áp dụng các bài học thành công</t>
  </si>
  <si>
    <t>Idea Challenge Forum, Box Ý tưởng, 'Vietcombank Sáng tạo đột phá' và các tọa đàm chia sẻ kinh nghiệm nội bộ.</t>
  </si>
  <si>
    <t>BC Phát triển bền vững 2025 Vietcombank; Báo Đại biểu Nhân dân 16/8/2025: Đổi mới sáng tạo Vietcombank: Từ tư duy chiến lược đến hệ sinh thái phát triển bền vững</t>
  </si>
  <si>
    <t>50-51 (PTBV); web</t>
  </si>
  <si>
    <t>Việc áp dụng thông lệ tốt nhất chỉ được thực hiện theo sự vụ.</t>
  </si>
  <si>
    <t>Một số bộ phận, đơn vị chức năng xác định và khuyến khích áp dụng các thông lệ tốt nhất (best practices).</t>
  </si>
  <si>
    <t>Hầu hết các bộ phận, đơn vị chức năng tích cực xác định và khuyến khích áp dụng các thông lệ tốt nhất.</t>
  </si>
  <si>
    <t>Toàn bộ doanh nghiệp tích cực xác định và khuyến khích áp dụng các thông lệ tốt nhất.</t>
  </si>
  <si>
    <t>Toàn bộ doanh nghiệp và các đối tác trong hệ sinh thái của doanh nghiệp tích cực xác định và khuyến khích áp dụng các thông lệ tốt nhất.</t>
  </si>
  <si>
    <t>Quản trị công nghệ</t>
  </si>
  <si>
    <t>3.1.1</t>
  </si>
  <si>
    <t>Khung quản trị công nghệ</t>
  </si>
  <si>
    <t>Hệ thống bảo mật vận hành theo chuẩn NIST, COBIT, PCI DSS, ISO 27001; Khối CNTT &amp; Chuyển đổi số; khung quản lý rủi ro CNTT.</t>
  </si>
  <si>
    <t>Tin Vietcombank 19/6/2024: Vietcombank dẫn đầu xu hướng chuyển đổi số thông qua kết nối hệ thống ERP của doanh nghiệp; BCTN 2025 Vietcombank</t>
  </si>
  <si>
    <t>web; 18-19; 84-93 (BCTN)</t>
  </si>
  <si>
    <t>Tin H2H là 2024, dùng để chứng minh chuẩn khung đang áp dụng.</t>
  </si>
  <si>
    <t>Một khung quản trị công nghệ chưa được áp dụng chính thức.</t>
  </si>
  <si>
    <t>Một khung quản trị công nghệ đang được áp dụng ở một số bộ phận, đơn vị chức năng.</t>
  </si>
  <si>
    <t>Một khung quản trị công nghệ đang được áp dụng trên hầu hết các bộ phận, đơn vị chức năng.</t>
  </si>
  <si>
    <t>Một khung quản trị công nghệ đang được áp dụng trong toàn doanh nghiệp.</t>
  </si>
  <si>
    <t>Một khung quản trị công nghệ đang được áp dụng trên toàn doanh nghiệp và các đối tác trong hệ sinh thái của doanh nghiệp.</t>
  </si>
  <si>
    <t>3.1.2</t>
  </si>
  <si>
    <t>Tiêu chuẩn ngành</t>
  </si>
  <si>
    <t>ISO 27001:2022 duy trì liên tục từ 2014; PCI DSS 4.0.1; ngân hàng đầu tiên đáp ứng TCCS 44:2022 cho kết nối ETC; xử lý điện thanh toán chuẩn ISO 20022/SWIFT với tỷ lệ STP cao.</t>
  </si>
  <si>
    <t>BC Phát triển bền vững 2025 Vietcombank; Tin Vietcombank 24/10/2025: Vietcombank là ngân hàng đầu tiên liên kết trực tiếp với tài khoản giao thông ePass</t>
  </si>
  <si>
    <t>48-49 (PTBV); web</t>
  </si>
  <si>
    <t>Việc sử dụng các tiêu chuẩn ngành được thực hiện theo sự vụ và chưa tính đến lợi ích kinh doanh.</t>
  </si>
  <si>
    <t>Các tiêu chuẩn ngành có liên quan được sử dụng một phần để tối đa hóa lợi ích kinh doanh.</t>
  </si>
  <si>
    <t>Các tiêu chuẩn ngành có liên quan được tận dụng tối đa để tối đa hóa lợi ích kinh doanh.</t>
  </si>
  <si>
    <t>Doanh nghiệp sử dụng đầy đủ và đóng góp vào các tiêu chuẩn ngành có liên quan.</t>
  </si>
  <si>
    <t>Doanh nghiệp và các đối tác trong hệ sinh thái của doanh nghiệp tận dụng triệt để và đóng góp vào các tiêu chuẩn ngành có liên quan .</t>
  </si>
  <si>
    <t>3.1.3</t>
  </si>
  <si>
    <t>Quản lý môi trường</t>
  </si>
  <si>
    <t>Giảm phát thải/doanh thu 7,42%; tối ưu trung tâm dữ liệu và số hóa giảm phụ thuộc hạ tầng vật lý (nêu chung).</t>
  </si>
  <si>
    <t>58-59</t>
  </si>
  <si>
    <t>Bằng chứng chủ yếu ở tòa nhà/văn phòng, chưa riêng cho hoạt động công nghệ.</t>
  </si>
  <si>
    <t>Doanh nghiệp ít hoặc chưa xem xét đến tác động môi trường của các hoạt động công nghệ.</t>
  </si>
  <si>
    <t>Một số bộ phận, đơn vị chức năng xem xét tác động đến môi trường từ các hoạt động công nghệ của họ.</t>
  </si>
  <si>
    <t>Hầu hết các bộ phận, đơn vị chức năng quản lý tác động đến môi trường của các hoạt động công nghệ của họ.</t>
  </si>
  <si>
    <t>Doanh nghiệp chủ động quản lý tác động đến môi trường của các hoạt động công nghệ của mình.</t>
  </si>
  <si>
    <t>Doanh nghiệp và các đối tác trong hệ sinh thái của mình chủ động quản lý tác động đối với môi trường của các hoạt động công nghệ của họ.</t>
  </si>
  <si>
    <t>3.1.4</t>
  </si>
  <si>
    <t>Quản lý năng lượng</t>
  </si>
  <si>
    <t>Cường độ điện/doanh thu 0,724 kWh/triệu VNĐ (-16,39%); chứng nhận ISO 50001; LEED Platinum, WELL Core Gold; tiết kiệm điện ở tòa nhà 198 Trần Quang Khải và 05 Mê Linh.</t>
  </si>
  <si>
    <t>Phạm vi chủ yếu 2 tòa nhà chính.</t>
  </si>
  <si>
    <t>Việc xem xét quản lý năng lượng được thực hiện theo sự vụ.</t>
  </si>
  <si>
    <t>Một số bộ phận, đơn vị chức năng quản lý tác động kinh tế của tiêu thụ năng lượng.</t>
  </si>
  <si>
    <t>Hầu hết các bộ phận, đơn vị chức năng quản lý tác động kinh tế của việc tiêu thụ năng lượng.</t>
  </si>
  <si>
    <t>Doanh nghiệp chủ động quản lý tác động kinh tế của việc tiêu thụ năng lượng.</t>
  </si>
  <si>
    <t>Doanh nghiệp và các đối tác hệ sinh thái của doanh nghiệp chủ động quản lý tác động kinh tế của việc tiêu thụ năng lượng.</t>
  </si>
  <si>
    <t>3.1.5</t>
  </si>
  <si>
    <t>Công nghệ mới</t>
  </si>
  <si>
    <t>Ứng dụng AI, Big Data, Blockchain, VNeID, ký số từ xa; Trung tâm Đổi mới sáng tạo; HĐQT học các khóa AI-driven organization (9-11/2025).</t>
  </si>
  <si>
    <t>Tin Vietcombank 27/6/2025: Vietcombank dẫn đầu ngành ngân hàng về đổi mới sáng tạo và ESG; BCTN 2025 Vietcombank; BC Phát triển bền vững 2025 Vietcombank</t>
  </si>
  <si>
    <t>web; 68-71 (BCTN); 50-51 (PTBV)</t>
  </si>
  <si>
    <t>Doanh nghiệp ít hoặc chưa quan tâm đến các công nghệ mới.</t>
  </si>
  <si>
    <t>Một số bộ phận, đơn vị chức năng đã tích cực áp dụng các công nghệ mới cho hoạt động kinh doanh của họ.</t>
  </si>
  <si>
    <t>Doanh nghiệp đã tích cực áp dụng các công nghệ mới cho hoạt động kinh doanh.</t>
  </si>
  <si>
    <t>Doanh nghiệp đang chủ động tìm kiếm (scan) các công nghệ mới và hoạt động kinh doanh của họ.</t>
  </si>
  <si>
    <t>Doanh nghiệp và các đối tác trong hệ sinh thái của doanh nghiệp đang chủ động tìm kiếm các công nghệ mới và hoạt động kinh doanh của họ.</t>
  </si>
  <si>
    <t>Kiến trúc công nghệ và ứng dụng</t>
  </si>
  <si>
    <t>3.2.1</t>
  </si>
  <si>
    <t>Chiến lược/lộ trình công nghệ</t>
  </si>
  <si>
    <t>Nâng cấp kiến trúc và hạ tầng CNTT, hiện đại hóa hệ thống thanh toán; 2026 ưu tiên hiện đại hóa hệ thống công nghệ lõi, ứng dụng AI; kế hoạch chuyển đổi có trụ cột Technology.</t>
  </si>
  <si>
    <t>44-45; 24-25; 40-41 (BCTN); web</t>
  </si>
  <si>
    <t>Lộ trình công nghệ chưa phù hợp với chiến lược kinh doanh.</t>
  </si>
  <si>
    <t>Lộ trình công nghệ phù hợp một phần với chiến lược kinh doanh.</t>
  </si>
  <si>
    <t>Lộ trình công nghệ phù hợp với chiến lược kinh doanh của doanh nghiệp.</t>
  </si>
  <si>
    <t>Lộ trình công nghệ liên tục được tối ưu hóa để phù hợp và thúc đẩy chiến lược kinh doanh trong toàn doanh nghiệp.</t>
  </si>
  <si>
    <t>Lộ trình công nghệ liên tục được tối ưu hóa để phù hợp và thúc đẩy chiến lược kinh doanh trong toàn doanh nghiệp và các đối tác trong hệ sinh thái của doanh nghiệp.</t>
  </si>
  <si>
    <t>3.2.2</t>
  </si>
  <si>
    <t>Kiến trúc Microservices &amp; kiến trúc theo hướng dịch vụ (SOA - Service-Oriented Architecture)</t>
  </si>
  <si>
    <t>Chưa thấy tài liệu chính thống về microservices/SOA tại Vietcombank.</t>
  </si>
  <si>
    <t>Kiến trúc hướng dịch vụ được thực hiện theo sự vụ.</t>
  </si>
  <si>
    <t>Microservices đã được triển khai trong một số ứng dụng.</t>
  </si>
  <si>
    <t>Microservices được sử dụng trong hầu hết các ứng dụng và lập trình hướng sự kiện đang được triển khai.</t>
  </si>
  <si>
    <t>Microservices và lập trình hướng sự kiện được áp dụng đầy đủ trong bối cảnh ứng dụng của doanh nghiệp.</t>
  </si>
  <si>
    <t>Microservices và lập trình hướng sự kiện được áp dụng đầy đủ trong bối cảnh ứng dụng của doanh nghiệp và các đối tác trong hệ sinh thái của doanh nghiệp.</t>
  </si>
  <si>
    <t>3.2.3</t>
  </si>
  <si>
    <t>Mã nguồn mở</t>
  </si>
  <si>
    <t>Chưa thấy công bố về mã nguồn mở.</t>
  </si>
  <si>
    <t>Việc sử dụng nguồn mở chỉ được thực hiện theo sự vụ.</t>
  </si>
  <si>
    <t>Các giải pháp mã nguồn mở có liên quan được sử dụng một phần để tối đa hóa lợi ích kinh doanh.</t>
  </si>
  <si>
    <t>Các giải pháp mã nguồn mở có liên quan được sử dụng đầy đủ để tối đa hóa lợi ích kinh doanh.</t>
  </si>
  <si>
    <t>Doanh nghiệp sử dụng đầy đủ và đóng góp cho các giải pháp mã nguồn mở có liên quan.</t>
  </si>
  <si>
    <t>Doanh nghiệp và các đối tác hệ sinh thái của doanh nghiệp sử dụng đầy đủ và đóng góp cho các giải pháp mã nguồn mở có liên quan.</t>
  </si>
  <si>
    <t>3.2.4</t>
  </si>
  <si>
    <t>Khả năng cấu hình ứng dụng</t>
  </si>
  <si>
    <t>Chưa thấy công bố về khả năng cấu hình ứng dụng.</t>
  </si>
  <si>
    <t>Các ứng dụng chủ yếu được tùy chỉnh.</t>
  </si>
  <si>
    <t>Một số ứng dụng được cấu hình linh hoạt, đáng tin cậy và nhanh chóng bởi doanh nghiệp.</t>
  </si>
  <si>
    <t>Hầu hết các ứng dụng được cấu hình linh hoạt, đáng tin cậy và nhanh chóng bởi doanh nghiệp.</t>
  </si>
  <si>
    <t>Tất cả các ứng dụng được cấu hình linh hoạt, đáng tin cậy và nhanh chóng bởi doanh nghiệp.</t>
  </si>
  <si>
    <t>Tất cả các ứng dụng đều được cấu hình linh hoạt, đáng tin cậy và nhanh chóng bởi doanh nghiệp và các đối tác trong hệ sinh thái của doanh nghiệp.</t>
  </si>
  <si>
    <t>3.2.5</t>
  </si>
  <si>
    <t>Nâng cao năng lực sử dụng điện toán đám mây (Cloud)</t>
  </si>
  <si>
    <t>Đào tạo 09 khóa Cloud trên AWS cho nhân sự Khối CNTT &amp; CĐS chuẩn bị chuyển từ on-premise lên cloud (Kế hoạch hành động chuyển đổi xác định Cloud là kỹ năng quan trọng).</t>
  </si>
  <si>
    <t>Báo Diễn đàn Doanh nghiệp 10/7/2024: Vietcombank đẩy mạnh đào tạo về Cloud trên nền tảng AWS</t>
  </si>
  <si>
    <t>Chủ yếu là đào tạo/kế hoạch; chưa thấy số liệu workload trên cloud.</t>
  </si>
  <si>
    <t>Việc áp dụng các năng lực sử dụng điện toán đám mây chỉ được thực hiện theo sự vụ.</t>
  </si>
  <si>
    <t>Một số bộ phận, đơn vị chức năng đã bắt đầu xác định một cách tiếp cận chung để phát triển năng lực sử dụng điện toán đám mây của họ.</t>
  </si>
  <si>
    <t>Hầu hết các bộ phận, đơn vị chức năng đã bắt đầu xác định một cách tiếp cận chung để phát triển năng lực sử dụng điện toán đám mây của họ.</t>
  </si>
  <si>
    <t>Doanh nghiệp có một cách tiếp cận chung được cân nhắc kỹ lưỡng để phát triển năng lực sử dụng điện toán đám mây của mình nhằm tối đa hóa giá trị kinh doanh.</t>
  </si>
  <si>
    <t>Doanh nghiệp và các đối tác trong hệ sinh thái của doanh nghiệp có một cách tiếp cận chung được cân nhắc kỹ lưỡng để phát triển năng lực sử dụng điện toán đám mây của họ nhằm tối đa hóa giá trị kinh doanh.</t>
  </si>
  <si>
    <t>3.2.6</t>
  </si>
  <si>
    <t>Áp dụng API</t>
  </si>
  <si>
    <t>Có kết nối API với đối tác: liên kết trực tiếp ePass (cá nhân, doanh nghiệp), kết nối ERP H2H cho doanh nghiệp, kết nối trung gian thanh toán, nền tảng thương mại điện tử.</t>
  </si>
  <si>
    <t>Tin Vietcombank 24/10/2025: Vietcombank là ngân hàng đầu tiên liên kết trực tiếp với tài khoản giao thông ePass; Tin 27/12/2025: Khách hàng doanh nghiệp của Vietcombank đã có thể liên kết tài khoản ngân hàng với tài khoản giao thông ePass; Tin Vietcombank 19/6/2024: Vietcombank dẫn đầu xu hướng chuyển đổi số thông qua kết nối hệ thống ERP của doanh nghiệp; BC Phát triển bền vững 2025 Vietcombank</t>
  </si>
  <si>
    <t>web; 50-51 (PTBV)</t>
  </si>
  <si>
    <t>Chưa thấy quy định bắt buộc API/mở chuẩn cho mọi ứng dụng mới.</t>
  </si>
  <si>
    <t>Việc sử dụng API chỉ được thực hiện theo sự vụ.</t>
  </si>
  <si>
    <t>Một số bộ phận, đơn vị chức năng đã bắt đầu hỗ trợ API.</t>
  </si>
  <si>
    <t>Doanh nghiệp bắt buộc sử dụng API cho tất cả các ứng dụng mới và đang bắt đầu áp dụng các thông số kỹ thuật mở.</t>
  </si>
  <si>
    <t>Doanh nghiệp bắt buộc sử dụng API dựa trên thông số kỹ thuật mở cho tất cả các ứng dụng và đã đạt được sự áp dụng rộng rãi.</t>
  </si>
  <si>
    <t>Doanh nghiệp và các đối tác trong hệ sinh thái của doanh nghiệp bắt buộc sử dụng API dựa trên các thông số kỹ thuật mở cho tất cả các ứng dụng và đã đạt được sự áp dụng rộng rãi.</t>
  </si>
  <si>
    <t>3.2.7</t>
  </si>
  <si>
    <t>Kiến trúc công nghệ</t>
  </si>
  <si>
    <t>Core banking vận hành từ 27/1/2020; kiến trúc hỗ trợ triển khai kịp thời nhiều giải pháp 2025 (Online Lending, ký số, xác thực VNeID, ePass).</t>
  </si>
  <si>
    <t>12-13; 14-15; 38-39</t>
  </si>
  <si>
    <t>Kiến trúc công nghệ hỗ trợ các ứng dụng được thực hiện theo sự vụ.</t>
  </si>
  <si>
    <t>Kiến trúc công nghệ hỗ trợ triển khai kịp thời một số ứng dụng.</t>
  </si>
  <si>
    <t>Kiến trúc công nghệ hỗ trợ triển khai kịp thời hầu hết các ứng dụng.</t>
  </si>
  <si>
    <t>Kiến trúc công nghệ hỗ trợ liền mạch việc triển khai kịp thời các ứng dụng trong toàn doanh nghiệp.</t>
  </si>
  <si>
    <t>Kiến trúc công nghệ hỗ trợ liền mạch việc triển khai kịp thời các ứng dụng trong toàn doanh nghiệp và các đối tác trong hệ sinh thái của doanh nghiệp.</t>
  </si>
  <si>
    <t>An toàn thông tin mạng</t>
  </si>
  <si>
    <t>3.3.1</t>
  </si>
  <si>
    <t>Bảo đảm an toàn hệ thống thông tin theo cấp độ</t>
  </si>
  <si>
    <t>Chưa thấy công bố về cấp độ an toàn hệ thống thông tin.</t>
  </si>
  <si>
    <t>Phê duyệt 80% Hồ sơ đề xuất cấp độ cho các hệ thống thông tin.</t>
  </si>
  <si>
    <t>Phê duyệt 100% Hồ sơ đề xuất cấp độ cho các hệ thống thông tin và triển khai đầy đủ phương án bảo đảm an toàn hệ thống thông tin cho 50% các HTTT.</t>
  </si>
  <si>
    <t>100% hệ thống thông tin được phê duyệt và triển khai đầy đủ phương án bảo đảm an toàn hệ thống thông tin theo cấp độ .</t>
  </si>
  <si>
    <t>- Mức độ 3 và định kỳ 100% các HTTT được kiểm tra, đánh giá định kỳ theo quy định của pháp luật.</t>
  </si>
  <si>
    <t>- Mức độ 4 và triển khai giám sát cho 100% các HTTT được giám sát, bảo vệ chuyên nghiệp.</t>
  </si>
  <si>
    <t>3.3.2</t>
  </si>
  <si>
    <t>Phát hiện và giảm thiểu xâm nhập</t>
  </si>
  <si>
    <t>Quản trị an ninh, phát hiện xâm nhập và tấn công mạng nằm trong khung bảo mật; ISO 27001; giám sát giao dịch bất thường; năm 2026 ưu tiên củng cố rủi ro công nghệ và an ninh mạng.</t>
  </si>
  <si>
    <t>48-49 (PTBV); 24-25 (BCTN)</t>
  </si>
  <si>
    <t>Chưa thấy số liệu về SOC/sự cố công khai.</t>
  </si>
  <si>
    <t>Việc phát hiện xâm nhập chỉ được thực hiện theo sự vụ.</t>
  </si>
  <si>
    <t>Doanh nghiệp phát hiện và giảm thiểu xâm nhập trong một số thành phần của các hệ thống.</t>
  </si>
  <si>
    <t>Doanh nghiệp phát hiện và giảm thiểu xâm nhập trong hầu hết các thành phần của các hệ thống.</t>
  </si>
  <si>
    <t>Doanh nghiệp phát hiện và giảm thiểu xâm nhập trong thời gian gần thực.</t>
  </si>
  <si>
    <t>Doanh nghiệp và các đối tác trong hệ sinh thái của doanh nghiệp phát hiện và giảm thiểu xâm nhập trong thời gian gần thực.</t>
  </si>
  <si>
    <t>3.3.3</t>
  </si>
  <si>
    <t>Bảo đảm an toàn, an ninh mạng</t>
  </si>
  <si>
    <t>ISO 27001:2022 duy trì từ 2014, PCI DSS 4.0.1; xác thực sinh trắc học cho hơn 14,7 triệu KHCN; đơn vị an ninh thông tin chuyên trách rà soát định kỳ; giải VCB Tablet 'Sáng kiến Quản lý rủi ro của năm'.</t>
  </si>
  <si>
    <t>BC Phát triển bền vững 2025 Vietcombank; BCTN 2025 Vietcombank; Tin Vietcombank 19/6/2024: Vietcombank dẫn đầu xu hướng chuyển đổi số thông qua kết nối hệ thống ERP của doanh nghiệp</t>
  </si>
  <si>
    <t>48-49 (PTBV); 38-39 (BCTN); web</t>
  </si>
  <si>
    <t>Bảo vệ hệ thống thông tin được thực hiện theo sự vụ.</t>
  </si>
  <si>
    <t>Một số bộ phận, đơn vị chức năng có năng lực bảo đảm an toàn, an ninh mạng hiệu quả.</t>
  </si>
  <si>
    <t>Doanh nghiệp có năng lực bảo đảm an toàn, an ninh mạng hiệu quả.</t>
  </si>
  <si>
    <t>Doanh nghiệp có năng lực bảo đảm an toàn, an ninh mạng hiệu quả và liên tục được cải thiện.</t>
  </si>
  <si>
    <t>Doanh nghiệp và các đối tác trong hệ sinh thái của doanh nghiệp có năng lực bảo đảm an toàn, an ninh mạng hiệu quả và liên tục được cải thiện.</t>
  </si>
  <si>
    <t>3.3.4</t>
  </si>
  <si>
    <t>Bảo mật vật lý</t>
  </si>
  <si>
    <t>Chưa thấy công bố về bảo mật vật lý công nghệ.</t>
  </si>
  <si>
    <t>Việc sử dụng các thành phần công nghệ để bảo mật vật lý được thực hiện theo sự vụ.</t>
  </si>
  <si>
    <t>Một số yếu tố công nghệ được sử dụng để đáp ứng nhu cầu bảo mật vật lý của doanh nghiệp.</t>
  </si>
  <si>
    <t>Các yếu tố công nghệ được sử dụng để đáp ứng nhu cầu bảo mật vật lý của doanh nghiệp.</t>
  </si>
  <si>
    <t>Các yếu tố công nghệ được sử dụng hiệu quả để đáp ứng nhu cầu bảo mật vật lý của doanh nghiệp.</t>
  </si>
  <si>
    <t>Các yếu tố công nghệ được sử dụng hiệu quả để đáp ứng nhu cầu bảo mật vật lý của doanh nghiệp và các đối tác trong hệ sinh thái của doanh nghiệp.</t>
  </si>
  <si>
    <t>Ứng dụng và nền tảng</t>
  </si>
  <si>
    <t>3.4.1</t>
  </si>
  <si>
    <t>Trí tuệ nhân tạo</t>
  </si>
  <si>
    <t>Trợ lý ảo VCB Digibot; AI tạo sinh ở trung tâm hỗ trợ khách hàng; AI trong phòng chống gian lận; Nhóm nghiên cứu rủi ro AI thuộc Ủy ban Quản lý rủi ro; 2026 tích hợp AI vào quản trị, quản trị rủi ro, ra quyết định.</t>
  </si>
  <si>
    <t>BC Phát triển bền vững 2025 Vietcombank; BCTN 2025 Vietcombank; Tin Vietcombank 2022: Vietcombank bước đầu sử dụng trợ lý ảo trong hoạt động chăm sóc khách hàng (VCB Digibot)</t>
  </si>
  <si>
    <t>36-37 (PTBV); 64-65; 8-9 (BCTN); web</t>
  </si>
  <si>
    <t>Việc sử dụng trí tuệ nhân tạo chỉ được thực hiện theo sự vụ.</t>
  </si>
  <si>
    <t>Trí tuệ nhân tạo được một số bộ phận, đơn vị chức năng sử dụng để mang lại giá trị kinh tế.</t>
  </si>
  <si>
    <t>Trí tuệ nhân tạo được sử dụng trong toàn doanh nghiệp để mang lại giá trị kinh tế.</t>
  </si>
  <si>
    <t>Trí tuệ nhân tạo được sử dụng rộng rãi và ngày càng nhiều trong toàn doanh nghiệp để mang lại giá trị kinh tế.</t>
  </si>
  <si>
    <t>Trí tuệ nhân tạo được sử dụng rộng rãi và ngày càng nhiều trong toàn doanh nghiệp và các đối tác trong hệ sinh thái của doanh nghiệp để mang lại giá trị kinh tế.</t>
  </si>
  <si>
    <t>3.4.2</t>
  </si>
  <si>
    <t>Nền tảng dữ liệu lớn</t>
  </si>
  <si>
    <t>Khối Dữ liệu (thành lập 2025) có Phòng Tích hợp nền tảng dữ liệu; đầu tư mở rộng khả năng lưu trữ và xử lý dữ liệu lớn.</t>
  </si>
  <si>
    <t>BCTN 2025 Vietcombank; Tin: Vietcombank thành lập Khối Dữ liệu, khẳng định vai trò tiên phong trong chuyển đổi số (2025)</t>
  </si>
  <si>
    <t>44-45; web</t>
  </si>
  <si>
    <t>Doanh nghiệp chưa có nền tảng dữ liệu lớn.</t>
  </si>
  <si>
    <t>Doanh nghiệp đã có kế hoạch triển khai nền tảng dữ liệu lớn.</t>
  </si>
  <si>
    <t>Một nền tảng dữ liệu lớn đã được thiết lập và đi vào hoạt động.</t>
  </si>
  <si>
    <t>Một nền tảng dữ liệu lớn đang được sử dụng để thu thập, quản lý và phân tích dữ liệu trong toàn doanh nghiệp nhằm mang lại giá trị kinh tế.</t>
  </si>
  <si>
    <t>Một nền tảng dữ liệu lớn đang được sử dụng để thu thập, quản lý và phân tích dữ liệu trong toàn doanh nghiệp và các đối tác trong hệ sinh thái của doanh nghiệp nhằm mang lại giá trị kinh tế.</t>
  </si>
  <si>
    <t>3.4.3</t>
  </si>
  <si>
    <t>Công cụ phát triển ứng dụng</t>
  </si>
  <si>
    <t>Chưa thấy công bố về công cụ phát triển ứng dụng.</t>
  </si>
  <si>
    <t>Việc sử dụng các công cụ phát triển ứng dụng được thực hiện theo sự vụ.</t>
  </si>
  <si>
    <t>Doanh nghiệp có sẵn một bộ công cụ phát triển ứng dụng để mang lại giá trị kinh tế.</t>
  </si>
  <si>
    <t>Doanh nghiệp có sẵn một bộ công cụ phát triển ứng dụng hoàn chỉnh để mang lại giá trị kinh tế.</t>
  </si>
  <si>
    <t>Doanh nghiệp có các công cụ phát triển ứng dụng tốt nhất trong cùng phân khúc và liên tục được nâng cao để mang lại giá trị kinh doanh.</t>
  </si>
  <si>
    <t>Doanh nghiệp và các đối tác trong hệ sinh thái của doanh nghiệp có sẵn các công cụ phát triển ứng dụng tốt nhất và liên tục được nâng cao để mang lại giá trị kinh doanh.</t>
  </si>
  <si>
    <t>3.4.4</t>
  </si>
  <si>
    <t>Danh mục công cụ</t>
  </si>
  <si>
    <t>Chưa thấy công bố về danh mục công cụ.</t>
  </si>
  <si>
    <t>Doanh nghiệp chưa có hành động cụ thể để lập danh mục các công cụ.</t>
  </si>
  <si>
    <t>Một số bộ phận, đơn vị chức năng đã bắt đầu lập danh mục và tài liệu hóa các công cụ họ sử dụng.</t>
  </si>
  <si>
    <t>Hầu hết các bộ phận, đơn vị chức năng duy trì một danh mục và tài liệu hóa về các công cụ họ sử dụng.</t>
  </si>
  <si>
    <t>Có một danh mục toàn doanh nghiệp về các công cụ được sử dụng cùng với tài liệu toàn diện.</t>
  </si>
  <si>
    <t>Có một danh mục các công cụ được sử dụng trên toàn bộ doanh nghiệp và hệ sinh thái của doanh nghiệp cùng với tài liệu toàn diện.</t>
  </si>
  <si>
    <t>Kết nối và tính toán</t>
  </si>
  <si>
    <t>3.5.1</t>
  </si>
  <si>
    <t>Ảo hóa (ví dụ: SDN/NFV)</t>
  </si>
  <si>
    <t>Chưa thấy công bố về ảo hóa.</t>
  </si>
  <si>
    <t>Ảo hóa chưa được sử dụng.</t>
  </si>
  <si>
    <t>Một số bộ phận, đơn vị chức năng sử dụng ảo hóa để mang lại giá trị kinh tế (giảm chi phí, tăng năng suất lao động, ...).</t>
  </si>
  <si>
    <t>Nhiều bộ phận, đơn vị chức năng sử dụng ảo hóa để mang lại giá trị kinh tế.</t>
  </si>
  <si>
    <t>Doanh nghiệp sử dụng hiệu quả ảo hóa ở bất cứ nơi nào nó mang lại giá trị kinh tế.</t>
  </si>
  <si>
    <t>Doanh nghiệp và các đối tác trong hệ sinh thái của doanh nghiệp sử dụng hiệu quả ảo hóa ở bất cứ nơi nào nó mang lại giá trị kinh tế.</t>
  </si>
  <si>
    <t>3.5.2</t>
  </si>
  <si>
    <t>Kết nối không dây</t>
  </si>
  <si>
    <t>Chưa thấy công bố về kết nối không dây.</t>
  </si>
  <si>
    <t>Việc sử dụng kết nối không dây được thực hiện theo sự vụ.</t>
  </si>
  <si>
    <t>Một số bộ phận, đơn vị chức năng sử dụng kết nối không dây để mang lại giá trị kinh tế.</t>
  </si>
  <si>
    <t>Nhiều bộ phận, đơn vị chức năng sử dụng kết nối không dây để mang lại giá trị kinh tế.</t>
  </si>
  <si>
    <t>Doanh nghiệp sử dụng hiệu quả kết nối không dây phù hợp ở bất cứ nơi nào giá trị kinh tế được mang lại.</t>
  </si>
  <si>
    <t>Doanh nghiệp và các đối tác trong hệ sinh thái của doanh nghiệp sử dụng hiệu quả kết nối không dây thích hợp ở bất cứ nơi nào giá trị kinh tế được mang lại.</t>
  </si>
  <si>
    <t>3.5.3</t>
  </si>
  <si>
    <t>Giao thức Internet</t>
  </si>
  <si>
    <t>Chưa thấy công bố về giao thức Internet.</t>
  </si>
  <si>
    <t>Việc sử dụng IP được thực hiện theo sự vụ.</t>
  </si>
  <si>
    <t>IP được một số bộ phận, đơn vị chức năng sử dụng một cách có chủ ý trong toàn doanh nghiệp.</t>
  </si>
  <si>
    <t>IP được sử dụng bởi hầu hết các bộ phận, đơn vị chức năng trong toàn doanh nghiệp.</t>
  </si>
  <si>
    <t>IP được sử dụng rộng rãi trong toàn doanh nghiệp.</t>
  </si>
  <si>
    <t>IP được sử dụng rộng rãi trong toàn doanh nghiệp và các đối tác trong hệ sinh thái của doanh nghiệp.</t>
  </si>
  <si>
    <t>3.5.4</t>
  </si>
  <si>
    <t>Internet vạn vật</t>
  </si>
  <si>
    <t>Chưa thấy công bố về IoT.</t>
  </si>
  <si>
    <t>loT chưa được sử dụng.</t>
  </si>
  <si>
    <t>Một số bộ phận, đơn vị chức năng sử dụng IoT để mang lại giá trị kinh tế.</t>
  </si>
  <si>
    <t>Hầu hết bộ phận, đơn vị chức năng sử dụng IoT để mang lại giá trị kinh tế.</t>
  </si>
  <si>
    <t>Doanh nghiệp sử dụng hiệu quả IoT ở bất cứ nơi nào nó mang lại giá trị kinh tế.</t>
  </si>
  <si>
    <t>Doanh nghiệp và các đối tác trong hệ sinh thái của doanh nghiệp sử dụng hiệu quả IoT ở bất cứ nơi nào nó mang lại giá trị kinh tế.</t>
  </si>
  <si>
    <t>3.5.5</t>
  </si>
  <si>
    <t>Quản lý hạ tầng</t>
  </si>
  <si>
    <t>Nâng cấp kiến trúc và hạ tầng CNTT; đảm bảo an toàn hệ thống; Kiểm toán nội bộ rà soát tính liên tục của hệ thống thông tin.</t>
  </si>
  <si>
    <t>44-45; 72-73</t>
  </si>
  <si>
    <t>Quản lý hạ tầng chỉ được thực hiện theo sự vụ.</t>
  </si>
  <si>
    <t>Một số khía cạnh của Quản lý hạ tầng đang đáp ứng nhu cầu của doanh nghiệp.</t>
  </si>
  <si>
    <t>Hầu hết các khía cạnh của Quản lý hạ tầng đang đáp ứng nhu cầu của doanh nghiệp.</t>
  </si>
  <si>
    <t>Quản lý (các) hạ tầng được tích hợp và đáp ứng nhu cầu của doanh nghiệp và liên tục được cải thiện.</t>
  </si>
  <si>
    <t>Quản lý (các) hạ tầng được tích hợp và đáp ứng nhu cầu của doanh nghiệp cũng như các đối tác trong hệ sinh thái của doanh nghiệp và liên tục được cải thiện.</t>
  </si>
  <si>
    <t>3.5.6</t>
  </si>
  <si>
    <t>Điều phối nguồn lực</t>
  </si>
  <si>
    <t>Chưa thấy công bố về điều phối nguồn lực.</t>
  </si>
  <si>
    <t>Điều phối nguồn lực được xử lý chưa hiệu quả.</t>
  </si>
  <si>
    <t>Điều phối nguồn lực đang đáp ứng một phần các - Mức dịch vụ bắt buộc do doanh nghiệp cung cấp.</t>
  </si>
  <si>
    <t>Điều phối nguồn lực đang đáp ứng các - Mức dịch vụ bắt buộc do doanh nghiệp cung cấp.</t>
  </si>
  <si>
    <t>Điều phối nguồn lực đang vượt trội - Mức dịch vụ cần thiết do doanh nghiệp cung cấp.</t>
  </si>
  <si>
    <t>Điều phối đang vượt trội - Mức dịch vụ cần thiết do doanh nghiệp và các đối tác hệ sinh thái của doanh nghiệp cung cấp.</t>
  </si>
  <si>
    <t>3.5.7</t>
  </si>
  <si>
    <t>Điện toán đám mây</t>
  </si>
  <si>
    <t>Chương trình chuyển đổi lên điện toán đám mây đang chuẩn bị, đào tạo AWS cho nhân sự dự án.</t>
  </si>
  <si>
    <t>Chưa có số liệu tỷ trọng dùng cloud.</t>
  </si>
  <si>
    <t>Hạ tầng điện toán đám mây chưa được sử dụng.</t>
  </si>
  <si>
    <t>Hạ tầng điện toán đám mây được một số bộ phận, đơn vị chức năng sử dụng để mang lại giá trị kinh tế.</t>
  </si>
  <si>
    <t>Hạ tầng điện toán đám mây được hầu hết các bộ phận, đơn vị chức năng sử dụng để mang lại giá trị kinh tế.</t>
  </si>
  <si>
    <t>Doanh nghiệp sử dụng hiệu quả hạ tầng điện toán đám mây ở toàn bộ những nơi mà nó giúp mang lại giá trị kinh tế.</t>
  </si>
  <si>
    <t>Doanh nghiệp và các đối tác trong hệ sinh thái của doanh nghiệp sử dụng hiệu quả hạ tầng điện toán đám mây ở toàn bộ những nơi mà nó giúp mang lại giá trị kinh tế.</t>
  </si>
  <si>
    <t>3.5.8</t>
  </si>
  <si>
    <t>Điện toán biên</t>
  </si>
  <si>
    <t>Chưa thấy công bố về điện toán biên.</t>
  </si>
  <si>
    <t>Điện toán biên chưa được sử dụng.</t>
  </si>
  <si>
    <t>Một số bộ phận, đơn vị chức năng sử dụng điện toán biên để mang lại giá trị kinh tế.</t>
  </si>
  <si>
    <t>Nhiều bộ phận, đơn vị chức năng sử dụng điện toán biên để mang lại giá trị kinh tế.</t>
  </si>
  <si>
    <t>Doanh nghiệp sử dụng hiệu quả điện toán biên ở bất cứ nơi nào nó mang lại giá trị kinh tế.</t>
  </si>
  <si>
    <t>Doanh nghiệp và các đối tác trong hệ sinh thái của doanh nghiệp sử dụng hiệu quả điện toán biên ở bất cứ nơi nào nó mang lại giá trị kinh tế.</t>
  </si>
  <si>
    <t>3.5.9</t>
  </si>
  <si>
    <t>Tự động hóa</t>
  </si>
  <si>
    <t>Tỷ lệ giao dịch xử lý tự động STP vượt kế hoạch 2030; giải ngân trực tuyến toàn trình; số hóa quy trình tín dụng bán lẻ trên hệ thống RLOS.</t>
  </si>
  <si>
    <t>36-37 (BCTN); 54-55 (PTBV)</t>
  </si>
  <si>
    <t>Tự động hóa chỉ được thực hiện theo sự vụ.</t>
  </si>
  <si>
    <t>Một số bộ phận, đơn vị chức năng đã áp dụng tự động hóa để mang lại giá trị kinh tế.</t>
  </si>
  <si>
    <t>Hầu hết các quy trình đều được tự động hóa và mang lại giá trị kinh tế.</t>
  </si>
  <si>
    <t>Tự động hóa Zero-Touch đã sẵn sàng và mang lại giá trị kinh tế trong toàn doanh nghiệp.</t>
  </si>
  <si>
    <t>Tự động hóa Zero-Touch đã sẵn sàng và mang lại giá trị kinh tế cho toàn doanh nghiệp và các đối tác trong hệ sinh thái của doanh nghiệp.</t>
  </si>
  <si>
    <t>Quản trị vận hành</t>
  </si>
  <si>
    <t>4.1.1</t>
  </si>
  <si>
    <t>Mô hình doanh nghiệp</t>
  </si>
  <si>
    <t>Rà soát, tinh gọn mô hình tổ chức theo Nghị quyết 18-NQ/TW; thành lập Khối Dữ liệu, Trung tâm Đổi mới sáng tạo; Kế hoạch hành động chuyển đổi xây dựng mô hình hoạt động theo hướng Agile.</t>
  </si>
  <si>
    <t>BCTN 2025 Vietcombank; Tạp chí Thị trường Tài chính Tiền tệ 3/3/2023: Vietcombank chuyển mình mạnh mẽ với 'Thanh toán số'</t>
  </si>
  <si>
    <t>Mô hình vận hành chưa hỗ trợ chiến lược chuyển đổi số.</t>
  </si>
  <si>
    <t>Mô hình vận hành đang được xây dựng để phù hợp với chiến lược số.</t>
  </si>
  <si>
    <t>Mô hình vận hành của doanh nghiệp phù hợp với chiến lược số.</t>
  </si>
  <si>
    <t>Mô hình vận hành của doanh nghiệp thể hiện đầy đủ chiến lược số và nó liên tục được cải thiện.</t>
  </si>
  <si>
    <t>Mô hình hoạt động của doanh nghiệp và các đối tác trong hệ sinh thái của doanh nghiệp thể hiện đầy đủ chiến lược số và nó liên tục được cải thiện.</t>
  </si>
  <si>
    <t>4.1.2</t>
  </si>
  <si>
    <t>Quản lý rủi ro hoạt động</t>
  </si>
  <si>
    <t>Khung quản lý rủi ro hoạt động, khung quản lý rủi ro gian lận, khung quản lý rủi ro CNTT và quản lý kinh doanh liên tục; Kiểm toán nội bộ 29 cuộc kiểm toán năm 2025; giải 'Sáng kiến Quản lý rủi ro của năm' (ABF).</t>
  </si>
  <si>
    <t>BCTN 2025 Vietcombank; Tin Vietcombank 4/7/2025: Vietcombank tiếp tục được vinh danh và nhận cú đúp giải thưởng Quản trị rủi ro từ Asian Banking &amp; Finance</t>
  </si>
  <si>
    <t>84-93; 72-73 (BCTN); web</t>
  </si>
  <si>
    <t>Trang 84-93 là khoảng của chương Quản trị rủi ro.</t>
  </si>
  <si>
    <t>Quản lý rủi ro hoạt động chỉ được thực hiện theo sự vụ.</t>
  </si>
  <si>
    <t>Quản lý rủi ro hoạt động được áp dụng ở một số bộ phận, đơn vị chức năng.</t>
  </si>
  <si>
    <t>Quản lý rủi ro hoạt động được áp dụng trên hầu hết các bộ phận chức năng.</t>
  </si>
  <si>
    <t>Quản trị rủi ro hoạt động được áp dụng đầy đủ trong hoạt động của doanh nghiệp.</t>
  </si>
  <si>
    <t>Quản lý rủi ro hoạt động được áp dụng đầy đủ trong hoạt động của doanh nghiệp và các đối tác trong hệ sinh thái của doanh nghiệp.</t>
  </si>
  <si>
    <t>4.1.3</t>
  </si>
  <si>
    <t>Sự tuân thủ</t>
  </si>
  <si>
    <t>Năm 2025 không ghi nhận vi phạm nghiêm trọng; Khối Pháp chế &amp; Tuân thủ; bộ máy kiểm tra/kiểm toán nội bộ rà soát định kỳ; công bố thông tin đầy đủ, kịp thời; Top 50 DN quản trị công ty tốt nhất (VNCG50).</t>
  </si>
  <si>
    <t>30-31 (PTBV); 18-19; 72-73; 80-81 (BCTN)</t>
  </si>
  <si>
    <t>Việc tuân thủ các yêu cầu pháp lý và quy định cũng như áp dụng các tiêu chuẩn chỉ được thực hiện theo sự vụ.</t>
  </si>
  <si>
    <t>Một số bộ phận, đơn vị chức năng tuân thủ các yêu cầu pháp lý và quy định cũng như áp dụng các tiêu chuẩn trong hoạt động của mình.</t>
  </si>
  <si>
    <t>Hầu hết các bộ phận, đơn vị chức năng tuân thủ các yêu cầu pháp lý và quy định cũng như áp dụng các tiêu chuẩn trong hoạt động của mình.</t>
  </si>
  <si>
    <t>Toàn bộ bộ phận, đơn vị chức năng tuân thủ đầy đủ các yêu cầu pháp lý và quy định cũng như áp dụng các tiêu chuẩn trong hoạt động của mình.</t>
  </si>
  <si>
    <t>Toàn bộ bộ phận, đơn vị chức năng và đối tác trong hệ sinh thái tuân thủ đầy đủ các yêu cầu pháp lý và quy định cũng như áp dụng các tiêu chuẩn trong hoạt động của mình.</t>
  </si>
  <si>
    <t>4.1.4</t>
  </si>
  <si>
    <t>Hoạt động bảo đảm vận hành an toàn trong quản lý tài sản doanh nghiệp</t>
  </si>
  <si>
    <t>Kiểm toán nội bộ rà soát quản lý tài sản, mua sắm, đầu tư xây dựng, hoạt động liên tục của hệ thống thông tin; quy định bảo vệ tài sản trong Quy định ứng xử.</t>
  </si>
  <si>
    <t>72-73 (BCTN); 32-33 (PTBV)</t>
  </si>
  <si>
    <t>Hoạt động bảo vệ tài sản của doanh nghiệp chỉ được thực hiện theo sự vụ.</t>
  </si>
  <si>
    <t>Doanh nghiệp đang bảo vệ một phần tài sản của mình.</t>
  </si>
  <si>
    <t>Hoạt động bảo đảm vận hành bảo vệ tài sản doanh nghiệp được thực hiện trong toàn bộ doanh nghiệp.</t>
  </si>
  <si>
    <t>Hoạt động bảo đảm vận hành bảo vệ toàn diện tài sản doanh nghiệp trong thời gian thực trên toàn doanh nghiệp.</t>
  </si>
  <si>
    <t>Hoạt động bảo đảm vận hành bảo vệ hoàn toàn tài sản doanh nghiệp trong thời gian thực trên toàn doanh nghiệp và được thống nhất với các đối tác trong hệ sinh thái của doanh nghiệp.</t>
  </si>
  <si>
    <t>Thiết kế và đổi mới sáng tạo dịch vụ</t>
  </si>
  <si>
    <t>4.2.1</t>
  </si>
  <si>
    <t>Đáp ứng yêu cầu kinh doanh/nghiệp vụ</t>
  </si>
  <si>
    <t>Chưa thấy công bố về chuyển yêu cầu nghiệp vụ thành kiến trúc/thiết kế dịch vụ.</t>
  </si>
  <si>
    <t>Các yêu cầu nghiệp vụ được chuyển thành Kiến trúc và thiết kế dịch vụ được thực hiện theo sự vụ.</t>
  </si>
  <si>
    <t>Các yêu cầu kinh doanh/nghiệp vụ được hiểu bởi một số bộ phận, đơn vị chức năng và được chuyển thành Kiến trúc và thiết kế dịch vụ.</t>
  </si>
  <si>
    <t>Các yêu cầu kinh doanh/nghiệp vụ được hiểu bởi hầu hết các bộ phận, đơn vị chức năng và được chuyển thành Kiến trúc và thiết kế dịch vụ.</t>
  </si>
  <si>
    <t>Các yêu cầu kinh doanh/nghiệp vụ được doanh nghiệp hiểu đầy đủ và chuyển thành Kiến trúc và thiết kế dịch vụ.</t>
  </si>
  <si>
    <t>Các yêu cầu kinh doanh/nghiệp vụ được doanh nghiệp và các đối tác trong hệ sinh thái của doanh nghiệp hiểu đầy đủ và chuyển thành Kiến trúc và thiết kế dịch vụ.</t>
  </si>
  <si>
    <t>4.2.2</t>
  </si>
  <si>
    <t>Tư duy Thiết kế (Design Thinking)</t>
  </si>
  <si>
    <t>Hội thảo 'Đổi mới để phát triển, Sáng tạo để dẫn đầu' của TS Alexander Osterwalder (5/2025) với lãnh đạo hơn 20 doanh nghiệp; hội thảo học tập suốt đời, đổi mới sáng tạo.</t>
  </si>
  <si>
    <t>BCTN 2025 Vietcombank; Báo Đại biểu Nhân dân 2025: Ngày hội Thanh niên đổi mới sáng tạo 'YouUp - Bật ý tưởng, dựng tương lai' (Đoàn Thanh niên Vietcombank)</t>
  </si>
  <si>
    <t>70-71 (BCTN); web</t>
  </si>
  <si>
    <t>Tư duy Thiết kế chưa được sử dụng.</t>
  </si>
  <si>
    <t>Tư duy Thiết kế được áp dụng bởi một số bộ phận, đơn vị chức năng để hiểu nhu cầu và thách thức của các bên liên quan.</t>
  </si>
  <si>
    <t>Tư duy Thiết kế được hầu hết các bộ phận, đơn vị chức năng áp dụng để hiểu nhu cầu và thách thức của các bên liên quan.</t>
  </si>
  <si>
    <t>Tư duy Thiết kế được doanh nghiệp áp dụng đầy đủ để hiểu nhu cầu và thách thức của các bên liên quan.</t>
  </si>
  <si>
    <t>Tư duy Thiết kế được doanh nghiệp và các đối tác trong hệ sinh thái của doanh nghiệp áp dụng đầy đủ để hiểu nhu cầu và thách thức của các bên liên quan.</t>
  </si>
  <si>
    <t>4.2.3</t>
  </si>
  <si>
    <t>Phát triển linh hoạt</t>
  </si>
  <si>
    <t>Kế hoạch hành động chuyển đổi xác định thay đổi mô hình làm việc theo định hướng Agile.</t>
  </si>
  <si>
    <t>Tạp chí Thị trường Tài chính Tiền tệ 3/3/2023: Vietcombank chuyển mình mạnh mẽ với 'Thanh toán số'</t>
  </si>
  <si>
    <t>Tin 2023; chưa thấy số liệu mức độ áp dụng ở FY2025.</t>
  </si>
  <si>
    <t>Agile methods chưa được sử dụng.</t>
  </si>
  <si>
    <t>Agile methods được một số bộ phận, đơn vị chức năng áp dụng trong quá trình phát triển và cải tiến sản phẩm.</t>
  </si>
  <si>
    <t>Agile methods được hầu hết các bộ phận, đơn vị chức năng áp dụng trong quá trình phát triển và cải tiến sản phẩm.</t>
  </si>
  <si>
    <t>Agile methods được toàn bộ doanh nghiệp áp dụng trong quá trình phát triển và cải tiến sản phẩm.</t>
  </si>
  <si>
    <t>Agile methods được doanh nghiệp và các đối tác trong hệ sinh thái của doanh nghiệp áp dụng đầy đủ trong quá trình phát triển và cải tiến sản phẩm.</t>
  </si>
  <si>
    <t>4.2.4</t>
  </si>
  <si>
    <t>Tối ưu hóa quy trình</t>
  </si>
  <si>
    <t>Chuẩn hóa, đơn giản hóa quy trình tín dụng trên hệ thống RLOS; giải ngân trực tuyến toàn trình; tối ưu hành trình tổng đài giảm ~40% thời gian kết nối; tinh gọn tổ chức.</t>
  </si>
  <si>
    <t>36-37; 54-55 (PTBV); 38-39 (BCTN)</t>
  </si>
  <si>
    <t>Tối ưu hóa quy trình được thực hiện theo sự vụ.</t>
  </si>
  <si>
    <t>Một số bộ phận, đơn vị chức năng có tối ưu hóa quy trình hoạt động.</t>
  </si>
  <si>
    <t>Hầu hết các bộ phận, đơn vị chức năng có tối ưu hóa quy trình hoạt động.</t>
  </si>
  <si>
    <t>Các quy trình vận hành được doanh nghiệp tối ưu hóa hoàn toàn bất cứ khi nào có thể.</t>
  </si>
  <si>
    <t>Các quy trình vận hành được doanh nghiệp và các đối tác trong hệ sinh thái của doanh nghiệp tối ưu hóa hoàn toàn bất cứ khi nào có thể.</t>
  </si>
  <si>
    <t>4.2.5</t>
  </si>
  <si>
    <t>Đổi mới liên tục sản phẩm và dịch vụ</t>
  </si>
  <si>
    <t>Liên tục ra mắt giải pháp mới 2025: Online Lending, ký số trên Digibank, liên kết ePass, VietQRGlobal, thẻ phi vật lý; 05 giải Sao Khuê 2025; Trung tâm Đổi mới sáng tạo.</t>
  </si>
  <si>
    <t>BCTN 2025 Vietcombank; BC Phát triển bền vững 2025 Vietcombank; Tin Vietcombank 24/10/2025: Vietcombank là ngân hàng đầu tiên liên kết trực tiếp với tài khoản giao thông ePass</t>
  </si>
  <si>
    <t>38-39 (BCTN); 50-51 (PTBV); web</t>
  </si>
  <si>
    <t>Đổi mới sáng tạo được thực hiện theo sự vụ.</t>
  </si>
  <si>
    <t>Một số bộ phận, đơn vị chức năng đổi mới để cải thiện các dịch vụ hiện có và giới thiệu những dịch vụ mới.</t>
  </si>
  <si>
    <t>Hầu hết các bộ phận, đơn vị chức năng đổi mới để cải thiện các dịch vụ hiện có và giới thiệu những dịch vụ mới.</t>
  </si>
  <si>
    <t>Doanh nghiệp liên tục đổi mới để cải thiện các dịch vụ hiện có và giới thiệu những dịch vụ mới.</t>
  </si>
  <si>
    <t>Doanh nghiệp và các đối tác trong hệ sinh thái của mình liên tục đổi mới để cải thiện các dịch vụ hiện có và giới thiệu các dịch vụ mới.</t>
  </si>
  <si>
    <t>4.2.6</t>
  </si>
  <si>
    <t>Hợp tác với đối tác</t>
  </si>
  <si>
    <t>Hợp tác với Viettel ePass, Bộ Công an (VNeID, RAR/C06), Bệnh viện E, gần 600 bệnh viện, Mizuho, JBIC (nguồn vốn xanh 300 triệu USD), FPT AI, EY.</t>
  </si>
  <si>
    <t>Tin Vietcombank 24/10/2025: Vietcombank là ngân hàng đầu tiên liên kết trực tiếp với tài khoản giao thông ePass; Bizhub 22/5/2025: VNeID, VCB Digibank launch remote digital signatures; Tin Vietcombank 26/11/2025: Lễ ký kết thỏa thuận hợp tác toàn diện giữa Vietcombank Sở giao dịch và Bệnh viện E; BC Phát triển bền vững 2025 Vietcombank; BCTN 2025 Vietcombank</t>
  </si>
  <si>
    <t>web; 38-39 (BCTN); 54-55 (PTBV)</t>
  </si>
  <si>
    <t>Hợp tác đối tác được thực hiện theo sự vụ.</t>
  </si>
  <si>
    <t>Một số bộ phận, đơn vị chức năng có quy trình Hợp tác đối tác hiệu quả.</t>
  </si>
  <si>
    <t>Hầu hết các bộ phận, đơn vị chức năng đều có quy trình Hợp tác đối tác hiệu quả.</t>
  </si>
  <si>
    <t>Doanh nghiệp có một quy trình hiệu quả để Hợp tác các đối tác.</t>
  </si>
  <si>
    <t>Doanh nghiệp và các đối tác trong hệ sinh thái của mình có một quy trình hiệu quả để Hợp tác các đối tác.</t>
  </si>
  <si>
    <t>Chuyển tiếp/Triển khai dịch vụ</t>
  </si>
  <si>
    <t>4.3.1</t>
  </si>
  <si>
    <t>Quản lý thay đổi hoạt động</t>
  </si>
  <si>
    <t>Chưa thấy công bố về quản lý thay đổi hoạt động.</t>
  </si>
  <si>
    <t>Quản lý thay đổi được thực hiện theo sự vụ.</t>
  </si>
  <si>
    <t>Một số bộ phận, đơn vị chức năng đã thống nhất và xác định trách nhiệm quản lý thay đổi.</t>
  </si>
  <si>
    <t>Hầu hết các bộ phận, đơn vị chức năng đã thống nhất và xác định trách nhiệm quản lý thay đổi.</t>
  </si>
  <si>
    <t>Doanh nghiệp đã xác định rõ ràng trách nhiệm quản lý thay đổi.</t>
  </si>
  <si>
    <t>Doanh nghiệp và các đối tác trong hệ sinh thái của doanh nghiệp đã thống nhất và xác định rõ trách nhiệm đối với việc quản lý thay đổi.</t>
  </si>
  <si>
    <t>4.3.2</t>
  </si>
  <si>
    <t>Quản lý phát hành</t>
  </si>
  <si>
    <t>Chưa thấy công bố về quản lý phát hành.</t>
  </si>
  <si>
    <t>Quản lý phát hành được thực hiện theo sự vụ.</t>
  </si>
  <si>
    <t>Cách tiếp cận Quản lý phát hành được một số bộ phận bộ phận, đơn vị chức năng đồng ý và áp dụng.</t>
  </si>
  <si>
    <t>Cách tiếp cận Quản lý phát hành được hầu hết các bộ phận bộ phận, đơn vị chức năng đồng ý và áp dụng.</t>
  </si>
  <si>
    <t>Cách tiếp cận Quản lý phát hành linh hoạt, được thống nhất và áp dụng trong toàn doanh nghiệp.</t>
  </si>
  <si>
    <t>Cách tiếp cận Quản lý phát hành linh hoạt, được thống nhất và áp dụng trong toàn doanh nghiệp và các đối tác trong hệ sinh thái của doanh nghiệp.</t>
  </si>
  <si>
    <t>4.3.3</t>
  </si>
  <si>
    <t>DevSecOps</t>
  </si>
  <si>
    <t>Chưa thấy công bố về DevSecOps (chỉ thấy khóa đào tạo DevOps/Security on AWS năm 2024).</t>
  </si>
  <si>
    <t>DevSecOps chưa được sử dụng.</t>
  </si>
  <si>
    <t>Các nguyên tắc DevSecOps đang bắt đầu được xác định.</t>
  </si>
  <si>
    <t>Các nguyên tắc DevSecOps được xác định và bắt đầu được giới thiệu.</t>
  </si>
  <si>
    <t>Các nguyên tắc DevSecOps được doanh nghiệp áp dụng triệt để.</t>
  </si>
  <si>
    <t>Các nguyên tắc DevSecOps được doanh nghiệp và các đối tác trong hệ sinh thái của doanh nghiệp áp dụng đầy đủ.</t>
  </si>
  <si>
    <t>4.3.4</t>
  </si>
  <si>
    <t>CI/CD</t>
  </si>
  <si>
    <t>Chưa thấy công bố về CI/CD (chỉ thấy khóa đào tạo DevOps on AWS năm 2024).</t>
  </si>
  <si>
    <t>CI/CD chưa được sử dụng.</t>
  </si>
  <si>
    <t>Quy trình công việc CI/CD đang bắt đầu được xác định.</t>
  </si>
  <si>
    <t>Quy trình công việc CI/CD được ghi lại đang bắt đầu được giới thiệu.</t>
  </si>
  <si>
    <t>Doanh nghiệp vận hành quy trình công việc CI/CD được ưu tiên và ghi chép đầy đủ.</t>
  </si>
  <si>
    <t>Doanh nghiệp và các đối tác trong hệ sinh thái của doanh nghiệp vận hành quy trình làm việc CI/CD được ưu tiên và ghi chép đầy đủ.</t>
  </si>
  <si>
    <t>Vận hành dịch vụ</t>
  </si>
  <si>
    <t>4.4.1</t>
  </si>
  <si>
    <t>Đảm bảo dịch vụ</t>
  </si>
  <si>
    <t>Trung tâm hỗ trợ khách hàng đạt chỉ số gần chuẩn quốc tế (hài lòng trên 85%); tự động cảnh báo chất lượng kênh; tỷ lệ STP thanh toán quốc tế rất cao.</t>
  </si>
  <si>
    <t>36-37 (PTBV); 36-37 (BCTN)</t>
  </si>
  <si>
    <t>Bằng chứng tập trung ở chăm sóc khách hàng và thanh toán quốc tế.</t>
  </si>
  <si>
    <t>Đảm bảo dịch vụ được thực hiện theo sự vụ.</t>
  </si>
  <si>
    <t>Đảm bảo dịch vụ được ban hành nhưng thỉnh thoảng các dịch vụ mới đạt được - Mức hiệu suất đã thỏa thuận.</t>
  </si>
  <si>
    <t>Đảm bảo dịch vụ được áp dụng và các dịch vụ đang hoạt động ở - Mức hiệu suất đã thỏa thuận.</t>
  </si>
  <si>
    <t>Đảm bảo dịch vụ được áp dụng và các dịch vụ do doanh nghiệp cung cấp đang hoạt động ở - Mức hiệu suất đã thỏa thuận và liên tục cải thiện.</t>
  </si>
  <si>
    <t>Đảm bảo dịch vụ được áp dụng và các dịch vụ do doanh nghiệp và các đối tác trong hệ sinh thái của doanh nghiệp cung cấp đang hoạt động ở - Mức hiệu suất đã thỏa thuận và liên tục cải thiện.</t>
  </si>
  <si>
    <t>4.4.2</t>
  </si>
  <si>
    <t>SRE</t>
  </si>
  <si>
    <t>Chưa thấy công bố về SRE.</t>
  </si>
  <si>
    <t>SRE chưa được sử dụng.</t>
  </si>
  <si>
    <t>SRE được thực hiện một phần bởi doanh nghiệp.</t>
  </si>
  <si>
    <t>SRE được thực hiện bởi doanh nghiệp.</t>
  </si>
  <si>
    <t>SRE được doanh nghiệp triển khai hiệu quả để cung cấp các hoạt động dịch vụ không có lỗi.</t>
  </si>
  <si>
    <t>SRE được doanh nghiệp và các đối tác trong hệ sinh thái của doanh nghiệp triển khai hiệu quả để cung cấp các hoạt động dịch vụ không có lỗi.</t>
  </si>
  <si>
    <t>4.4.3</t>
  </si>
  <si>
    <t>Hoạt động chuỗi cung ứng</t>
  </si>
  <si>
    <t>Mua sắm tập trung tại Trụ sở chính, xây kho dữ liệu nhà cung cấp theo lĩnh vực, quy trình đấu thầu và thương thảo rõ ràng.</t>
  </si>
  <si>
    <t>40-41; 50-51</t>
  </si>
  <si>
    <t>Chỉ thấy bằng chứng mua sắm, chưa thấy độ linh hoạt chuỗi cung ứng.</t>
  </si>
  <si>
    <t>Hoạt động chuỗi cung ứng chưa linh hoạt và chưa kịp thời.</t>
  </si>
  <si>
    <t>Hoạt động chuỗi cung ứng có tính linh hoạt hạn chế.</t>
  </si>
  <si>
    <t>Hoạt động chuỗi cung ứng linh hoạt.</t>
  </si>
  <si>
    <t>Hoạt động chuỗi cung ứng linh hoạt và có thể phản ứng kịp thời với những thay đổi.</t>
  </si>
  <si>
    <t>Hoạt động chuỗi cung ứng của doanh nghiệp và các đối tác trong hệ sinh thái của doanh nghiệp rất linh hoạt và có thể phản ứng kịp thời với những thay đổi.</t>
  </si>
  <si>
    <t>4.4.4</t>
  </si>
  <si>
    <t>Đáp ứng yêu cầu sản phẩm và dịch vụ của khách hàng</t>
  </si>
  <si>
    <t>Giải ngân online đã triển khai; hơn 6.000 khách hàng giải ngân online, ~36.500 món vay trong 2025; phát hành thẻ ghi nợ phi vật lý; xử lý ~3 triệu yêu cầu qua trung tâm hỗ trợ.</t>
  </si>
  <si>
    <t>38-39 (BCTN); 36-37 (PTBV)</t>
  </si>
  <si>
    <t>BCTN (6.000 KH/36.500 món) và BC PTBV tr.54-55 (4.014 KH/9.950 khoản, ~8.350 tỷ) nêu số khác nhau; nên ghi rõ phạm vi.</t>
  </si>
  <si>
    <t>Đáp ứng yêu cầu sản phẩm và dịch vụ được thực hiện theo sự vụ.</t>
  </si>
  <si>
    <t>Đáp ứng yêu cầu sản phẩm và dịch vụ đang bắt đầu để đảm bảo rằng các sản phẩm hoàn chỉnh và theo yêu cầu của khách hàng.</t>
  </si>
  <si>
    <t>Đáp ứng yêu cầu sản phẩm và dịch vụ đảm bảo các sản phẩm được cung cấp bởi doanh nghiệp là hoàn chỉnh và thường theo yêu cầu.</t>
  </si>
  <si>
    <t>Đáp ứng yêu cầu sản phẩm và dịch vụ đảm bảo các sản phẩm do doanh nghiệp cung cấp luôn đầy đủ và có sẵn theo yêu cầu.</t>
  </si>
  <si>
    <t>Đáp ứng yêu cầu sản phẩm và dịch vụ đảm bảo các sản phẩm do doanh nghiệp và các đối tác trong hệ sinh thái của doanh nghiệp cung cấp luôn đầy đủ và sẵn sàng theo yêu cầu.</t>
  </si>
  <si>
    <t>4.4.5</t>
  </si>
  <si>
    <t>Giám sát hoạt động</t>
  </si>
  <si>
    <t>Tự động theo dõi, cảnh báo tức thì chỉ số chất lượng dịch vụ kênh tổng đài; giám sát giao dịch bất thường.</t>
  </si>
  <si>
    <t>Mới thấy ở kênh tổng đài.</t>
  </si>
  <si>
    <t>Giám sát hoạt động được thực hiện theo sự vụ.</t>
  </si>
  <si>
    <t>Giám sát hoạt động cung cấp cái nhìn một phần về hiệu suất dịch vụ để quản lý các dịch vụ do doanh nghiệp cung cấp.</t>
  </si>
  <si>
    <t>Giám sát hoạt động cung cấp một cái nhìn toàn diện về hiệu suất dịch vụ để quản lý các dịch vụ do doanh nghiệp cung cấp.</t>
  </si>
  <si>
    <t>Giám sát hoạt động cung cấp một cái nhìn tổng thể theo thời gian thực về hiệu suất dịch vụ để quản lý và cải thiện các dịch vụ do doanh nghiệp cung cấp.</t>
  </si>
  <si>
    <t>Giám sát hoạt động cung cấp một cái nhìn tổng thể theo thời gian thực về hiệu suất dịch vụ để quản lý và cải thiện các dịch vụ do doanh nghiệp và các đối tác trong hệ sinh thái của doanh nghiệp cung cấp.</t>
  </si>
  <si>
    <t>4.4.6</t>
  </si>
  <si>
    <t>Hoạt động quản lý doanh thu</t>
  </si>
  <si>
    <t>Chưa thấy công bố về quản lý/đảm bảo doanh thu bằng công nghệ số.</t>
  </si>
  <si>
    <t>Các công nghệ số chưa được doanh nghiệp sử dụng để đảm bảo doanh thu.</t>
  </si>
  <si>
    <t>Các công nghệ số được doanh nghiệp sử dụng một phần để đảm bảo doanh thu.</t>
  </si>
  <si>
    <t>Các công nghệ số được doanh nghiệp sử dụng để đảm bảo doanh thu.</t>
  </si>
  <si>
    <t>Các công nghệ số được doanh nghiệp sử dụng rộng rãi để đảm bảo doanh thu theo thời gian thực.</t>
  </si>
  <si>
    <t>Các công nghệ số được doanh nghiệp và các đối tác trong hệ sinh thái của doanh nghiệp sử dụng rộng rãi để đảm bảo doanh thu theo thời gian thực.</t>
  </si>
  <si>
    <t>4.4.7</t>
  </si>
  <si>
    <t>Hoạt động quản lý gian lận</t>
  </si>
  <si>
    <t>Có khung quản lý rủi ro gian lận; dự án hệ thống phòng chống gian lận cho giao dịch thẻ và ngân hàng điện tử (16/6/2025); xác thực sinh trắc học qua CCCD gắn chip/VNeID cho 14,7 triệu KHCN.</t>
  </si>
  <si>
    <t>BCTN 2025 Vietcombank; Tin Vietcombank 16/6/2025: Lễ khởi động Dự án 'Tư vấn triển khai hệ thống phòng chống gian lận cho giao dịch thẻ, giao dịch NHĐT của KHCN'; Báo Chính phủ 1/7/2024: Vietcombank là ngân hàng đầu tiên khai thác Dịch vụ xác thực điện tử của Bộ Công an</t>
  </si>
  <si>
    <t>84-93; 38-39 (BCTN); web</t>
  </si>
  <si>
    <t>Các công nghệ số chưa được doanh nghiệp sử dụng để ngăn chặn rủi ro.</t>
  </si>
  <si>
    <t>Các công nghệ số được doanh nghiệp sử dụng một phần để ngăn chặn gian lận.</t>
  </si>
  <si>
    <t>Các công nghệ số được doanh nghiệp sử dụng để ngăn chặn gian lận.</t>
  </si>
  <si>
    <t>Các công nghệ số được doanh nghiệp sử dụng rộng rãi để ngăn chặn gian lận trong thời gian thực.</t>
  </si>
  <si>
    <t>Các công nghệ số được doanh nghiệp và các đối tác trong hệ sinh thái của doanh nghiệp sử dụng rộng rãi để ngăn chặn gian lận trong thời gian thực.</t>
  </si>
  <si>
    <t>4.4.8</t>
  </si>
  <si>
    <t>Vận hành hệ thống</t>
  </si>
  <si>
    <t>Core banking mới vận hành 1/2020; hiện đại hóa hệ thống thanh toán; ưu tiên 2026 hiện đại hóa hệ thống công nghệ lõi.</t>
  </si>
  <si>
    <t>14-15; 44-45; 24-25</t>
  </si>
  <si>
    <t>Nâng cấp, cải tiến hệ thống sẵn có chỉ được thực hiện theo sự vụ.</t>
  </si>
  <si>
    <t>Các hệ thống cũ được nâng cấp và tích hợp một phần vào các hoạt động tổng thể.</t>
  </si>
  <si>
    <t>Các hệ thống cũ được nâng cấp và tích hợp vào các hoạt động tổng thể.</t>
  </si>
  <si>
    <t>Các hệ thống cũ được nâng cấp và tích hợp đầy đủ và liền mạch vào các hoạt động tổng thể.</t>
  </si>
  <si>
    <t>Các hệ thống cũ của doanh nghiệp và đối tác trong hệ sinh thái của doanh nghiệp được nâng cấp và tích hợp đầy đủ và liền mạch vào các hoạt động tổng thể.</t>
  </si>
  <si>
    <t>Giá trị doanh nghiệp</t>
  </si>
  <si>
    <t>5.1.1</t>
  </si>
  <si>
    <t>Hành vi lãnh đạo</t>
  </si>
  <si>
    <t>Khảo sát 2025: trên 95% nhân viên phản hồi HĐQT/BĐH có tầm nhìn và mục tiêu rõ ràng; thành viên HĐQT học các khóa Leading Digital &amp; AI Transformation (IMD 9/2025, Mỹ 10-11/2025).</t>
  </si>
  <si>
    <t>38-39 (PTBV); 70-71 (BCTN)</t>
  </si>
  <si>
    <t>Hành vi của lãnh đạo được thực hiện theo sự vụ, chưa có sự liên kết rõ ràng với chiến lược và hoàn cảnh của doanh nghiệp.</t>
  </si>
  <si>
    <t>Hành vi lãnh đạo trong một số bộ phận, đơn vị chức năng phù hợp với chiến lược và bối cảnh của doanh nghiệp.</t>
  </si>
  <si>
    <t>Hành vi lãnh đạo trong hầu hết các bộ phận, đơn vị chức năng phù hợp với chiến lược và bối cảnh của doanh nghiệp.</t>
  </si>
  <si>
    <t>Hành vi lãnh đạo trong toàn doanh nghiệp hoàn toàn phù hợp với chiến lược và bối cảnh của doanh nghiệp.</t>
  </si>
  <si>
    <t>Hành vi lãnh đạo trong toàn doanh nghiệp và các đối tác trong hệ sinh thái hoàn toàn phù hợp với chiến lược và bối cảnh chung của họ.</t>
  </si>
  <si>
    <t>5.1.2</t>
  </si>
  <si>
    <t>Tác động của nhân viên</t>
  </si>
  <si>
    <t>Khảo sát gắn kết EES 2025 đạt 95,69 điểm ('Xuất sắc'); trên 90% nhân viên tự hào và muốn gắn bó; cán bộ là 'Đại sứ thương hiệu'.</t>
  </si>
  <si>
    <t>Nhân viên chưa hiểu tác động của họ đối với doanh nghiệp.</t>
  </si>
  <si>
    <t>Nhân viên trong một số bộ phận, đơn vị chức năng hiểu tác động của họ ở cấp độ bộ phận, đơn vị chức năng.</t>
  </si>
  <si>
    <t>Nhân viên trong hầu hết các bộ phận, đơn vị chức năng hiểu tác động của họ ở cấp độ bộ phận, đơn vị chức năng.</t>
  </si>
  <si>
    <t>Tất cả nhân viên của doanh nghiệp hiểu đầy đủ tác động của họ đối với doanh nghiệp.</t>
  </si>
  <si>
    <t>Tất cả nhân viên của doanh nghiệp và các đối tác trong hệ sinh thái của doanh nghiệp hiểu đầy đủ về tác động và đóng góp của họ đối với hoạt động kinh doanh chung của họ.</t>
  </si>
  <si>
    <t>5.1.3</t>
  </si>
  <si>
    <t>Giá trị được chia sẻ</t>
  </si>
  <si>
    <t>93,22% nhân viên đồng ý Vietcombank có định hướng và hướng dẫn cụ thể trong thực thi chiến lược chuyển đổi số.</t>
  </si>
  <si>
    <t>93% chưa phải 'tất cả nhân viên' nên chấm 3.</t>
  </si>
  <si>
    <t>Nhân viên chưa biết chiến lược chuyển đổi số.</t>
  </si>
  <si>
    <t>Nhân viên trong một số bộ phận, đơn vị chức năng ủng hộ chiến lược số của doanh nghiệp.</t>
  </si>
  <si>
    <t>Nhân viên ở hầu hết các bộ phận, đơn vị chức năng tin tưởng vào chiến lược số của doanh nghiệp.</t>
  </si>
  <si>
    <t>Tất cả nhân viên hoàn toàn tin tưởng vào chiến lược số của doanh nghiệp.</t>
  </si>
  <si>
    <t>Tất cả nhân viên hoàn toàn đồng ý với chiến lược số được chia sẻ của doanh nghiệp và các đối tác trong hệ sinh thái của doanh nghiệp.</t>
  </si>
  <si>
    <t>5.1.4</t>
  </si>
  <si>
    <t>Thất bại có kiểm soát</t>
  </si>
  <si>
    <t>Môi trường khuyến khích mỗi ý tưởng, dù thành công hay không, đóng góp vào kho tri thức tập thể (Trung tâm Đổi mới sáng tạo, Idea Challenge Forum).</t>
  </si>
  <si>
    <t>Báo Đại biểu Nhân dân 16/8/2025: Đổi mới sáng tạo Vietcombank: Từ tư duy chiến lược đến hệ sinh thái phát triển bền vững; BC Phát triển bền vững 2025 Vietcombank</t>
  </si>
  <si>
    <t>Văn hóa chưa khuyến khích sự minh bạch và sự thất bại.</t>
  </si>
  <si>
    <t>Một số bộ phận, đơn vị chức năng có văn hóa cho phép “thất bại trong một giới hạn nhất định” với các cơ chế được áp dụng để giảm thiểu các tác động ảnh hưởng.</t>
  </si>
  <si>
    <t>Hầu hết các bộ phận, đơn vị chức năng có văn hóa cho phép “thất bại trong một giới hạn nhất định” với các cơ chế được áp dụng để giảm thiểu các tác động ảnh hưởng.</t>
  </si>
  <si>
    <t>Toàn bộ doanh nghiệp có văn hóa cho phép “thất bại trong một giới hạn nhất định” với các cơ chế được áp dụng để giảm thiểu các tác động ảnh hưởng.</t>
  </si>
  <si>
    <t>Toàn bộ doanh nghiệp và các đối tác trong hệ sinh thái của doanh nghiệp có văn hóa cho phép “thất bại trong 1 giới hạn nhất định” với các cơ chế được áp dụng để giảm thiểu các tác động ảnh hưởng.</t>
  </si>
  <si>
    <t>5.1.5</t>
  </si>
  <si>
    <t>Cộng tác ảo</t>
  </si>
  <si>
    <t>Đào tạo/họp trực tuyến trên MS Teams, Zoom, cầu truyền hình.</t>
  </si>
  <si>
    <t>Bằng chứng chủ yếu cho đào tạo, chưa thấy toàn bộ hoạt động cộng tác ảo.</t>
  </si>
  <si>
    <t>Cộng tác ảo được thực hiện theo sự vụ.</t>
  </si>
  <si>
    <t>Một số bộ phận, đơn vị chức năng có khả năng cho phép cộng tác ảo.</t>
  </si>
  <si>
    <t>Hầu hết các bộ phận, đơn vị chức năng đều có khả năng cộng tác ảo.</t>
  </si>
  <si>
    <t>Toàn bộ doanh nghiệp có khả năng toàn diện cộng tác ảo trong và giữa các bộ phận, đơn vị chức năng.</t>
  </si>
  <si>
    <t>Toàn bộ doanh nghiệp và các đối tác trong hệ sinh thái của doanh nghiệp có khả năng toàn diện cộng tác ảo trong và giữa các bộ phận, đơn vị chức năng.</t>
  </si>
  <si>
    <t>5.1.6</t>
  </si>
  <si>
    <t>Sự hòa nhập</t>
  </si>
  <si>
    <t>HR Asia 2025: giải 'Diversity, Equity and Inclusion'; duy trì đa dạng về giới tính, độ tuổi, khu vực; công bố thu nhập theo giới tính.</t>
  </si>
  <si>
    <t>48-49 (PTBV); 38-39; 74-75 (BCTN)</t>
  </si>
  <si>
    <t>Các hoạt động thúc đẩy sự hòa nhập trong doanh nghiệp chỉ được thực hiện theo sự vụ.</t>
  </si>
  <si>
    <t>Một số bộ phận, đơn vị chức năng thúc đẩy toàn diện sự hòa nhập.</t>
  </si>
  <si>
    <t>Hầu hết các bộ phận, đơn vị chức năng thúc đẩy toàn diện sự hòa nhập.</t>
  </si>
  <si>
    <t>doanh nghiệp hoàn toàn chấp nhận sự hòa nhập.</t>
  </si>
  <si>
    <t>Doanh nghiệp và các đối tác hệ sinh thái của doanh nghiệp hoàn toàn chấp nhận sự hòa nhập.</t>
  </si>
  <si>
    <t>Quản lý tài năng</t>
  </si>
  <si>
    <t>5.2.1</t>
  </si>
  <si>
    <t>Chính sách đãi ngộ</t>
  </si>
  <si>
    <t>Chính sách tiền lương, đãi ngộ cập nhật thường xuyên, thu nhập theo vị trí và kết quả công việc; HR Asia Tech Empowerment Awards.</t>
  </si>
  <si>
    <t>50-51; 38-39</t>
  </si>
  <si>
    <t>Chưa thấy đãi ngộ gắn trực tiếp chỉ tiêu chuyển đổi số.</t>
  </si>
  <si>
    <t>Chính sách đãi ngộ được áp dụng một cách cứng nhắc và chưa thúc đẩy chiến lược chuyển đổi số.</t>
  </si>
  <si>
    <t>Chính sách đãi ngộ hoàn toàn phù hợp với và được hiển thị để thúc đẩy chiến lược số của một số bộ phận, đơn vị chức năng.</t>
  </si>
  <si>
    <t>Chính sách đãi ngộ hoàn toàn phù hợp và được hiển thị để thúc đẩy chiến lược số của hầu hết các bộ phận, đơn vị chức năng.</t>
  </si>
  <si>
    <t>Chính sách đãi ngộ hoàn toàn phù hợp và được thể hiện để thúc đẩy chiến lược số của doanh nghiệp.</t>
  </si>
  <si>
    <t>Chính sách đãi ngộ hoàn toàn phù hợp và được thể hiện để thúc đẩy chiến lược số của doanh nghiệp và các đối tác trong hệ sinh thái của doanh nghiệp.</t>
  </si>
  <si>
    <t>5.2.2</t>
  </si>
  <si>
    <t>Năng lực cơ bản</t>
  </si>
  <si>
    <t>Chưa thấy công bố hồ sơ năng lực lực lượng lao động.</t>
  </si>
  <si>
    <t>Doanh nghiệp chưa có một hồ sơ cấu trúc về năng lực của lực lượng lao động.</t>
  </si>
  <si>
    <t>Một số bộ phận, đơn vị chức năng chưa có một hồ sơ cấu trúc về năng lực của lực lượng lao động của họ.</t>
  </si>
  <si>
    <t>Hầu hết các bộ phận, đơn vị chức năng đã có một hồ sơ cấu trúc về năng lực của lực lượng lao động của họ.</t>
  </si>
  <si>
    <t>Toàn bộ doanh nghiệp có một hồ sơ cấu trúc chính xác về năng lực của lực lượng lao động của mình.</t>
  </si>
  <si>
    <t>Toàn bộ doanh nghiệp và các đối tác trong hệ sinh thái của doanh nghiệp có hồ sơ cấu trúc chính xác về năng lực của lực lượng lao động được chia sẻ.</t>
  </si>
  <si>
    <t>5.2.3</t>
  </si>
  <si>
    <t>Lập kế hoạch phát triển lực lượng lao động</t>
  </si>
  <si>
    <t>Kế hoạch hành động chuyển đổi xác định kỹ năng quan trọng (Cloud); 2026 nâng chất lượng nhân lực công nghệ và phân tích dữ liệu.</t>
  </si>
  <si>
    <t>Báo Diễn đàn Doanh nghiệp 10/7/2024: Vietcombank đẩy mạnh đào tạo về Cloud trên nền tảng AWS; BCTN 2025 Vietcombank</t>
  </si>
  <si>
    <t>web; 24-25 (BCTN)</t>
  </si>
  <si>
    <t>Các kỹ năng cần thiết để triển khai chiến lược chuyển đổi số được xác định được thực hiện theo sự vụ.</t>
  </si>
  <si>
    <t>Một số bộ phận có sẵn quy trình xác định các kỹ năng cần thiết để thực hiện chiến lược số.</t>
  </si>
  <si>
    <t>Hầu hết các bộ phận, đơn vị chức năng đều có quy trình hiệu quả để xác định các kỹ năng cần thiết để thực hiện chiến lược số.</t>
  </si>
  <si>
    <t>Toàn bộ doanh nghiệp có sẵn một quy trình hiệu quả để xác định các kỹ năng cần thiết để thực hiện chiến lược số.</t>
  </si>
  <si>
    <t>Toàn bộ doanh nghiệp và các đối tác trong hệ sinh thái của doanh nghiệp có một quy trình hiệu quả để xác định các kỹ năng cần thiết nhằm thực hiện chiến lược số.</t>
  </si>
  <si>
    <t>5.2.4</t>
  </si>
  <si>
    <t>Thu hút nhân tài</t>
  </si>
  <si>
    <t>Danh hiệu 'Thương hiệu Nhà tuyển dụng hấp dẫn với sinh viên Việt Nam' (Anphabe); tuyển dụng chuyên viên công nghệ, phân tích dữ liệu theo định hướng 2026.</t>
  </si>
  <si>
    <t>24-25; 50-51 (BCTN); 38-39 (PTBV)</t>
  </si>
  <si>
    <t>Các kỹ năng cần thiết để doanh nghiệp triển khai chiến lược chuyển đổi số.</t>
  </si>
  <si>
    <t>Một số bộ phận, đơn vị chức năng có sẵn quy trình để đạt các kỹ năng cần thiết để thực hiện chiến lược số.</t>
  </si>
  <si>
    <t>Hầu hết các bộ phận, đơn vị chức năng đều có quy trình hiệu quả để đạt các kỹ năng cần thiết nhằm thực hiện chiến lược số, bao gồm cả việc sử dụng các nguồn lực nhân tài phi truyền thống.</t>
  </si>
  <si>
    <t>Toàn bộ doanh nghiệp có quy trình hiệu quả để đạt các kỹ năng cần thiết nhằm thực hiện chiến lược số, bao gồm cả việc sử dụng các nguồn lực nhân tài phi truyền thống.</t>
  </si>
  <si>
    <t>Toàn bộ doanh nghiệp và các đối tác trong hệ sinh thái của doanh nghiệp có một quy trình hiệu quả để có được các kỹ năng cần thiết nhằm thực hiện chiến lược số, bao gồm cả việc sử dụng các nguồn lực nhân tài phi truyền thống.</t>
  </si>
  <si>
    <t>5.2.5</t>
  </si>
  <si>
    <t>Nhóm tài năng bên ngoài</t>
  </si>
  <si>
    <t>10 năm liền 'Nơi làm việc tốt nhất Việt Nam' (Anphabe), 'Nơi làm việc tốt nhất Châu Á' (HR Asia), dẫn đầu VBW10/MAE50/VBE500.</t>
  </si>
  <si>
    <t>38-39 (BCTN); 38-39 (PTBV)</t>
  </si>
  <si>
    <t>Doanh nghiệp chưa nuôi dưỡng nguồn tài năng bên ngoài.</t>
  </si>
  <si>
    <t>Một số bộ phận, đơn vị chức năng đã thiết lập một nhóm tài năng từ những nhân viên tiềm năng.</t>
  </si>
  <si>
    <t>Hầu hết bộ phận, đơn vị chức năng đã thiết lập một nhóm tài năng từ những nhân viên tiềm năng.</t>
  </si>
  <si>
    <t>Toàn bộ doanh nghiệp được coi là một nhà tuyển dụng hấp dẫn với đội ngũ nhân tài tiềm năng đã được thiết lập.</t>
  </si>
  <si>
    <t>Toàn bộ doanh nghiệp và các đối tác trong hệ sinh thái của doanh nghiệp được coi là những nhà tuyển dụng hấp dẫn với đội ngũ nhân tài tiềm năng lâu đời.</t>
  </si>
  <si>
    <t>5.2.6</t>
  </si>
  <si>
    <t>Phát triển tài năng</t>
  </si>
  <si>
    <t>Trường Đào tạo và Phát triển nguồn nhân lực Vietcombank; danh mục đào tạo đa dạng; E-learning; chương trình đào tạo hằng năm.</t>
  </si>
  <si>
    <t>38-39 (PTBV); 50-51 (BCTN)</t>
  </si>
  <si>
    <t>Việc phát triển tài năng chỉ được thực hiện theo sự vụ.</t>
  </si>
  <si>
    <t>Một số bộ phận, đơn vị chức năng có quy trình phát triển nhân tài.</t>
  </si>
  <si>
    <t>Hầu hết các bộ phận, đơn vị chức năng đều có quy trình phát triển nhân tài hiệu quả.</t>
  </si>
  <si>
    <t>Toàn bộ doanh nghiệp có quy trình phát triển nhân tài hiệu quả.</t>
  </si>
  <si>
    <t>Toàn bộ doanh nghiệp và các đối tác trong hệ sinh thái của doanh nghiệp có một quy trình hiệu quả để phát triển tài năng.</t>
  </si>
  <si>
    <t>5.2.7</t>
  </si>
  <si>
    <t>Học tập trên môi trường số</t>
  </si>
  <si>
    <t>Chương trình E-learning, quản lý đào tạo trên SuccessFactors, thư viện điện tử, số hóa bài giảng, tăng tỷ trọng đào tạo qua E-learning; khóa Cloud AWS.</t>
  </si>
  <si>
    <t>BC Phát triển bền vững 2025 Vietcombank; Báo Diễn đàn Doanh nghiệp 10/7/2024: Vietcombank đẩy mạnh đào tạo về Cloud trên nền tảng AWS</t>
  </si>
  <si>
    <t>38-39 (PTBV); web</t>
  </si>
  <si>
    <t>Chưa có số liệu giá trị kinh doanh từ học số.</t>
  </si>
  <si>
    <t>Học tập trên môi trường số chỉ được thực hiện theo sự vụ.</t>
  </si>
  <si>
    <t>Học tập trên môi trường số đang mang lại giá trị kinh doanh ở một số bộ phận, đơn vị chức năng.</t>
  </si>
  <si>
    <t>Học tập trên môi trường số đang mang lại giá trị kinh doanh trên hầu hết các bộ phận, đơn vị chức năng.</t>
  </si>
  <si>
    <t>Học tập trên môi trường số đang mang lại giá trị kinh doanh rõ ràng trong doanh nghiệp.</t>
  </si>
  <si>
    <t>Học tập trên môi trường số đang mang lại giá trị kinh doanh rõ ràng trong và trên toàn doanh nghiệp cũng như các đối tác trong hệ sinh thái của doanh nghiệp.</t>
  </si>
  <si>
    <t>5.2.8</t>
  </si>
  <si>
    <t>Sự gắn kết của người lao động</t>
  </si>
  <si>
    <t>Khảo sát EES hằng năm từ 2016; năm 2025 đạt 95,69 điểm ('Xuất sắc'); tiếp thu ý kiến, điều chỉnh chính sách lương, phúc lợi.</t>
  </si>
  <si>
    <t>Sự gắn kết của người lao động chưa được đo lường.</t>
  </si>
  <si>
    <t>Doanh nghiệp đang bắt đầu đánh giá sự gắn kết của người lao động.</t>
  </si>
  <si>
    <t>Doanh nghiệp thường xuyên đánh giá sự gắn kết của người lao động.</t>
  </si>
  <si>
    <t>Doanh nghiệp thường xuyên đánh giá sự gắn kết của người lao động và tạo ra các kế hoạch hành động nhằm thúc đẩy cải tiến sự gắn kết.</t>
  </si>
  <si>
    <t>Doanh nghiệp và các đối tác trong hệ sinh thái của doanh nghiệp thường xuyên đánh giá - Mức độ gắn kết của người lao động và lập kế hoạch hành động nhằm thúc đẩy cải tiến sự gắn kết.</t>
  </si>
  <si>
    <t>Hỗ trợ môi trường làm việc</t>
  </si>
  <si>
    <t>5.3.1</t>
  </si>
  <si>
    <t>Môi trường thúc đẩy năng suất</t>
  </si>
  <si>
    <t>Nơi làm việc tốt nhất Việt Nam/Châu Á; tòa nhà đạt LEED Platinum, WELL Core Gold; tinh gọn tổ chức để nâng cao năng suất lao động.</t>
  </si>
  <si>
    <t>38-39; 40-41 (BCTN); 58-59 (PTBV)</t>
  </si>
  <si>
    <t>Môi trường làm việc chưa chú trọng xem xét thúc đẩy tăng năng suất.</t>
  </si>
  <si>
    <t>Một số bộ phận, đơn vị chức năng đã tạo ra môi trường làm việc thúc đẩy tăng năng suất.</t>
  </si>
  <si>
    <t>Hầu hết các bộ phận, đơn vị chức năng đã tạo ra môi trường làm việc thúc đẩy tăng năng suất.</t>
  </si>
  <si>
    <t>Toàn bộ doanh nghiệp đã tạo ra những môi trường làm việc thúc đẩy tăng năng suất.</t>
  </si>
  <si>
    <t>Toàn bộ doanh nghiệp và các đối tác trong hệ sinh thái của doanh nghiệp đã cùng nhau tạo ra những môi trường làm việc thúc đẩy năng suất một cách tăng.</t>
  </si>
  <si>
    <t>5.3.2</t>
  </si>
  <si>
    <t>Môi trường thúc đẩy đổi mới sáng tạo</t>
  </si>
  <si>
    <t>Trung tâm Đổi mới sáng tạo (3/2025): Idea Challenge Forum, Box Ý tưởng, Vietcombank Sáng tạo đột phá; Ngày hội 'YouUp'; Top 10 ngân hàng Đổi mới sáng tạo 2025.</t>
  </si>
  <si>
    <t>BC Phát triển bền vững 2025 Vietcombank; Báo Đại biểu Nhân dân 2025: Ngày hội Thanh niên đổi mới sáng tạo 'YouUp - Bật ý tưởng, dựng tương lai' (Đoàn Thanh niên Vietcombank); Tin Vietcombank 27/6/2025: Vietcombank dẫn đầu ngành ngân hàng về đổi mới sáng tạo và ESG</t>
  </si>
  <si>
    <t>Nơi làm việc chưa chú trọng xem xét thúc đẩy đổi mới sáng tạo.</t>
  </si>
  <si>
    <t>Một số bộ phận, đơn vị chức năng đã tạo ra môi trường làm việc thúc đẩy đổi mới một cách hiệu quả.</t>
  </si>
  <si>
    <t>Hầu hết các bộ phận, đơn vị chức năng đã tạo ra môi trường làm việc thúc đẩy sự đổi mới một cách hiệu quả.</t>
  </si>
  <si>
    <t>Toàn bộ doanh nghiệp đã tạo ra những môi trường làm việc thúc đẩy sự đổi mới một cách hiệu quả.</t>
  </si>
  <si>
    <t>Toàn bộ doanh nghiệp và các đối tác trong hệ sinh thái của doanh nghiệp đã cùng nhau tạo ra những môi trường làm việc thúc đẩy sự đổi mới một cách hiệu quả.</t>
  </si>
  <si>
    <t>5.3.3</t>
  </si>
  <si>
    <t>Công cụ thúc đẩy tăng năng suất</t>
  </si>
  <si>
    <t>Chưa thấy công bố bộ công cụ thúc đẩy năng suất.</t>
  </si>
  <si>
    <t>Công cụ chưa có sẵn để thúc đẩy tăng năng suất.</t>
  </si>
  <si>
    <t>Một số bộ phận, đơn vị chức năng có một bộ công cụ toàn diện giúp thúc đẩy tăng năng suất.</t>
  </si>
  <si>
    <t>Hầu hết các bộ phận, đơn vị chức năng đều có một bộ công cụ toàn diện giúp thúc đẩy tăng năng suất.</t>
  </si>
  <si>
    <t>Toàn bộ doanh nghiệp có một bộ công cụ toàn diện giúp thúc đẩy tăng năng suất.</t>
  </si>
  <si>
    <t>Toàn bộ doanh nghiệp và các đối tác trong hệ sinh thái của doanh nghiệp có một bộ công cụ toàn diện giúp thúc đẩy năng suất một cách tăng.</t>
  </si>
  <si>
    <t>5.3.4</t>
  </si>
  <si>
    <t>Công cụ thúc đẩy đổi mới sáng tạo</t>
  </si>
  <si>
    <t>Idea Challenge Forum, Box Ý tưởng là công cụ thu nhận ý tưởng đổi mới.</t>
  </si>
  <si>
    <t>Chưa thấy bộ công cụ toàn diện.</t>
  </si>
  <si>
    <t>Doanh nghiệp chưa có công cụ để thúc đẩy đổi mới sáng tạo.</t>
  </si>
  <si>
    <t>Một số bộ phận, đơn vị chức năng có một bộ công cụ toàn diện giúp thúc đẩy đổi mới một cách hiệu quả.</t>
  </si>
  <si>
    <t>Hầu hết các bộ phận, đơn vị chức năng đều có một bộ công cụ toàn diện giúp thúc đẩy đổi mới một cách hiệu quả.</t>
  </si>
  <si>
    <t>Toàn bộ doanh nghiệp có một bộ công cụ toàn diện giúp thúc đẩy đổi mới một cách hiệu quả</t>
  </si>
  <si>
    <t>Toàn bộ doanh nghiệp và các đối tác trong hệ sinh thái của mình có một bộ công cụ toàn diện giúp thúc đẩy đổi mới một cách hiệu quả.</t>
  </si>
  <si>
    <t>5.3.5</t>
  </si>
  <si>
    <t>Chính sách thúc đẩy tăng năng suất</t>
  </si>
  <si>
    <t>Chủ trương tinh gọn bộ máy, nâng cao năng suất lao động và hiệu quả sử dụng nguồn lực (theo Nghị quyết 18-NQ/TW).</t>
  </si>
  <si>
    <t>40-41; 38-39</t>
  </si>
  <si>
    <t>Chính sách làm việc chưa thúc đẩy tăng năng suất.</t>
  </si>
  <si>
    <t>Một số bộ phận, đơn vị chức năng có các chính sách làm việc giúp thúc đẩy tăng năng suất.</t>
  </si>
  <si>
    <t>Hầu hết các bộ phận, đơn vị chức năng đều duy trì các chính sách làm việc nhằm thúc đẩy tăng năng suất.</t>
  </si>
  <si>
    <t>Toàn bộ doanh nghiệp duy trì các chính sách làm việc thúc đẩy tăng năng suất.</t>
  </si>
  <si>
    <t>Toàn bộ doanh nghiệp và các đối tác trong hệ sinh thái của mình cùng nhau duy trì các chính sách làm việc nhằm thúc đẩy năng suất một cách tăng.</t>
  </si>
  <si>
    <t>5.3.6</t>
  </si>
  <si>
    <t>Chính sách thúc đẩy đổi mới sáng tạo</t>
  </si>
  <si>
    <t>Định hướng khuyến khích đổi mới sáng tạo; Trung tâm Đổi mới sáng tạo; phong trào sáng kiến; chiến lược phát triển bền vững, sáng tạo, khác biệt.</t>
  </si>
  <si>
    <t>BCTN 2025 Vietcombank; BC Phát triển bền vững 2025 Vietcombank; Báo Đại biểu Nhân dân 2025: Ngày hội Thanh niên đổi mới sáng tạo 'YouUp - Bật ý tưởng, dựng tương lai' (Đoàn Thanh niên Vietcombank)</t>
  </si>
  <si>
    <t>8-9 (BCTN); 50-51 (PTBV); web</t>
  </si>
  <si>
    <t>Chính sách làm việc chưa thúc đẩy đổi mới sáng tạo.</t>
  </si>
  <si>
    <t>Một số bộ phận, đơn vị chức năng có các chính sách làm việc giúp thúc đẩy đổi mới một cách hiệu quả.</t>
  </si>
  <si>
    <t>Hầu hết các bộ phận, đơn vị chức năng duy trì các chính sách làm việc nhằm thúc đẩy đổi mới một cách hiệu quả.</t>
  </si>
  <si>
    <t>Toàn bộ doanh nghiệp duy trì các chính sách làm việc thúc đẩy hiệu quả sự đổi mới.</t>
  </si>
  <si>
    <t>Toàn bộ doanh nghiệp và các đối tác trong hệ sinh thái của mình cùng nhau duy trì các chính sách đang hoạt động nhằm thúc đẩy đổi mới một cách hiệu quả.</t>
  </si>
  <si>
    <t>5.3.7</t>
  </si>
  <si>
    <t>Nắm bắt tri thức</t>
  </si>
  <si>
    <t>Xây dựng 'kho tri thức tập thể'; lưu trữ hồ sơ trên phần mềm; thư viện điện tử.</t>
  </si>
  <si>
    <t>web; 38-39 (PTBV)</t>
  </si>
  <si>
    <t>Nắm bắt tri thức được thực hiện theo sự vụ.</t>
  </si>
  <si>
    <t>Một số bộ phận, đơn vị chức năng nắm bắt tri thức hiệu quả.</t>
  </si>
  <si>
    <t>Hầu hết các bộ phận, đơn vị chức năng nắm bắt tri thức một cách hiệu quả.</t>
  </si>
  <si>
    <t>Doanh nghiệp nắm bắt hiệu quả tri thức trong toàn doanh nghiệp.</t>
  </si>
  <si>
    <t>Doanh nghiệp và các đối tác trong hệ sinh thái của doanh nghiệp nắm bắt tri thức một cách hiệu quả trên toàn hệ sinh thái.</t>
  </si>
  <si>
    <t>5.3.8</t>
  </si>
  <si>
    <t>Chia sẻ tri thức</t>
  </si>
  <si>
    <t>Tọa đàm, hội thảo nội bộ (VCB tổ chức), đào tạo trực tuyến, E-learning, chia sẻ kinh nghiệm với các ngân hàng.</t>
  </si>
  <si>
    <t>68-71 (BCTN); 38-39 (PTBV)</t>
  </si>
  <si>
    <t>Chia sẻ tri thức được thực hiện theo sự vụ.</t>
  </si>
  <si>
    <t>Một số bộ phận, đơn vị chức năng chia sẻ tri thức một cách hiệu quả.</t>
  </si>
  <si>
    <t>Hầu hết các bộ phận, đơn vị chức năng chia sẻ tri thức một cách hiệu quả.</t>
  </si>
  <si>
    <t>Doanh nghiệp chia sẻ tri thức một cách hiệu quả trong toàn doanh nghiệp.</t>
  </si>
  <si>
    <t>Doanh nghiệp và các đối tác trong hệ sinh thái của doanh nghiệp chia sẻ tri thức một cách hiệu quả trên toàn hệ sinh thái.</t>
  </si>
  <si>
    <t>Quản trị dữ liệu</t>
  </si>
  <si>
    <t>6.1.1</t>
  </si>
  <si>
    <t>Quản lý siêu dữ liệu</t>
  </si>
  <si>
    <t>Chưa thấy công bố về quản lý siêu dữ liệu.</t>
  </si>
  <si>
    <t>Có ít siêu dữ liệu được thực hiện theo sự vụ hoặc chưa xác định.</t>
  </si>
  <si>
    <t>Siêu dữ liệu bắt đầu chuẩn hóa phân loại trong một số bộ phận, đơn vị chức năng.</t>
  </si>
  <si>
    <t>Siêu dữ liệu được định nghĩa sử dụng phân loại theo chức năng.</t>
  </si>
  <si>
    <t>Siêu dữ liệu liên tục được tối ưu hóa trong doanh nghiệp.</t>
  </si>
  <si>
    <t>Siêu dữ liệu liên tục được tối ưu hóa trong doanh nghiệp và các đối tác trong hệ sinh thái của doanh nghiệp.</t>
  </si>
  <si>
    <t>6.1.2</t>
  </si>
  <si>
    <t>Quản lý dữ liệu</t>
  </si>
  <si>
    <t>Khối Dữ liệu (2025) có Trung tâm Quản trị và Ứng dụng dữ liệu gồm Phòng Quản trị dữ liệu và Phòng Phân tích và Sản phẩm dữ liệu.</t>
  </si>
  <si>
    <t>Tin: Vietcombank thành lập Khối Dữ liệu, khẳng định vai trò tiên phong trong chuyển đổi số (2025); BCTN 2025 Vietcombank</t>
  </si>
  <si>
    <t>web; 44-45 (BCTN)</t>
  </si>
  <si>
    <t>Việc quản lý dữ liệu chỉ được thực hiện theo sự vụ.</t>
  </si>
  <si>
    <t>Bắt đầu có nhân sự quản lý dữ liệu và chịu trách nhiệm đối với một số tài sản dữ liệu của doanh nghiệp.</t>
  </si>
  <si>
    <t>Có nhân sự quản lý dữ liệu và chịu trách nhiệm đối với hầu hết các tài sản dữ liệu của doanh nghiệp.</t>
  </si>
  <si>
    <t>Có nhân sự quản lý dữ liệu và chịu trách nhiệm hoàn toàn đối với tất cả tài sản dữ liệu của doanh nghiệp.</t>
  </si>
  <si>
    <t>Có nhân sự quản lý dữ liệu và chịu trách nhiệm hoàn toàn đối với tất cả tài sản dữ liệu của doanh nghiệp và các đối tác trong hệ sinh thái của doanh nghiệp.</t>
  </si>
  <si>
    <t>6.1.3</t>
  </si>
  <si>
    <t>Quản lý dữ liệu chủ</t>
  </si>
  <si>
    <t>Chưa thấy công bố về quản lý dữ liệu chủ.</t>
  </si>
  <si>
    <t>Quản lý dữ liệu chủ chỉ được thực hiện theo sự vụ.</t>
  </si>
  <si>
    <t>Quản lý dữ liệu chủ đang bắt đầu được áp dụng trong một số bộ phận, đơn vị chức năng.</t>
  </si>
  <si>
    <t>Quản lý dữ liệu chủ được xác định trong các khu vực chức năng.</t>
  </si>
  <si>
    <t>Quản lý dữ liệu chủ được tối ưu hóa nhất quán trong toàn doanh nghiệp.</t>
  </si>
  <si>
    <t>Quản lý dữ liệu chủ được tối ưu hóa nhất quán cho các đối tác trong hệ sinh thái của doanh nghiệp.</t>
  </si>
  <si>
    <t>6.1.4</t>
  </si>
  <si>
    <t>Quản lý bảo mật dữ liệu</t>
  </si>
  <si>
    <t>ISO 27001:2022 duy trì từ 2014, PCI DSS 4.0.1; dự án Khung bảo vệ dữ liệu cá nhân phù hợp quy định pháp luật.</t>
  </si>
  <si>
    <t>Quản lý bảo mật dữ liệu chỉ được thực hiện theo sự vụ.</t>
  </si>
  <si>
    <t>Quản lý bảo mật dữ liệu đang bắt đầu được xác định ở một số bộ phận, đơn vị chức năng.</t>
  </si>
  <si>
    <t>Quản lý bảo mật dữ liệu được tích hợp với yêu cầu quy định về bảo vệ dữ liệu và quyền riêng tư và được sử dụng trong một số khu vực chức năng.</t>
  </si>
  <si>
    <t>Quản lý bảo mật dữ liệu được tích hợp với yêu cầu quy định về bảo vệ dữ liệu và quyền riêng tư và được sử dụng trong toàn doanh nghiệp.</t>
  </si>
  <si>
    <t>Quản lý bảo mật dữ liệu được tích hợp với yêu cầu quy định về bảo vệ dữ liệu và quyền riêng tư, đồng thời được sử dụng giữa các đối tác trong hệ sinh thái của doanh nghiệp.</t>
  </si>
  <si>
    <t>6.1.5</t>
  </si>
  <si>
    <t>Quản lý chính sách dữ liệu</t>
  </si>
  <si>
    <t>Định hướng 2026 coi dữ liệu là tài sản chiến lược và xây dựng dữ liệu nền tảng; có Luật Dữ liệu 2025 làm căn cứ.</t>
  </si>
  <si>
    <t>40-41 (BCTN); web</t>
  </si>
  <si>
    <t>Chưa thấy chính sách dữ liệu chính thức công bố.</t>
  </si>
  <si>
    <t>Doanh nghiệp chưa có chính sách dữ liệu chính thức.</t>
  </si>
  <si>
    <t>Doanh nghiệp bắt đầu xây dựng chính sách dữ liệu.</t>
  </si>
  <si>
    <t>Chính sách dữ liệu theo bộ phận, đơn vị chức năng được áp dụng.</t>
  </si>
  <si>
    <t>Chính sách dữ liệu chung được sử dụng trong toàn doanh nghiệp.</t>
  </si>
  <si>
    <t>Chính sách dữ liệu chung được sử dụng trên các đối tác trong hệ sinh thái của doanh nghiệp.</t>
  </si>
  <si>
    <t>6.1.6</t>
  </si>
  <si>
    <t>Chiến lược dữ liệu</t>
  </si>
  <si>
    <t>Chủ tịch HĐQT chỉ đạo Khối Dữ liệu 'quy hoạch, khai thác hiệu quả và chuyển hóa dữ liệu thành giá trị kinh doanh'; định hướng 2026 xây dựng dữ liệu nền tảng.</t>
  </si>
  <si>
    <t>Chưa thấy kết quả đo lường của chiến lược.</t>
  </si>
  <si>
    <t>Doanh nghiệp chưa có chiến lược dữ liệu.</t>
  </si>
  <si>
    <t>Một số bộ phận, đơn vị chức năng có một chiến lược dữ liệu riêng.</t>
  </si>
  <si>
    <t>Mỗi bộ phận, đơn vị chức năng có một chiến lược dữ liệu xác định được sử dụng với kết quả kinh doanh có thể đo lường được.</t>
  </si>
  <si>
    <t>Doanh nghiệp có một chiến lược dữ liệu chung được xác định rõ ràng được doanh nghiệp sử dụng với kết quả kinh doanh có thể đo lường được.</t>
  </si>
  <si>
    <t>Doanh nghiệp có một chiến lược dữ liệu chung được xác định rõ ràng được sử dụng bởi doanh nghiệp và các đối tác trong hệ sinh thái của doanh nghiệp với kết quả kinh doanh có thể đo lường được.</t>
  </si>
  <si>
    <t>6.1.7</t>
  </si>
  <si>
    <t>Tổ chức và vai trò</t>
  </si>
  <si>
    <t>Thành lập Khối Dữ liệu gồm 3 đơn vị: Phòng Tích hợp nền tảng dữ liệu, Trung tâm Kỹ thuật và Khoa học dữ liệu, Trung tâm Quản trị và Ứng dụng dữ liệu.</t>
  </si>
  <si>
    <t>web; 18-19; 44-45 (BCTN)</t>
  </si>
  <si>
    <t>Chưa xác định được vai trò cụ thể trong doanh nghiệp để quản lý dữ liệu.</t>
  </si>
  <si>
    <t>Một số vai trò quản lý dữ liệu đã được xác định.</t>
  </si>
  <si>
    <t>Các vai trò quản lý dữ liệu đã được thực hiện.</t>
  </si>
  <si>
    <t>Vai trò quản lý dữ liệu toàn diện được thực hiện trên toàn doanh nghiệp.</t>
  </si>
  <si>
    <t>Các vai trò quản lý dữ liệu toàn diện được triển khai trên toàn doanh nghiệp và các đối tác trong hệ sinh thái của doanh nghiệp.</t>
  </si>
  <si>
    <t>6.1.8</t>
  </si>
  <si>
    <t>Quản lý quyền riêng tư dữ liệu</t>
  </si>
  <si>
    <t>Triển khai Dự án xây dựng Khung bảo vệ dữ liệu cá nhân.</t>
  </si>
  <si>
    <t>Quản lý quyền riêng tư dữ liệu được thực hiện theo sự vụ.</t>
  </si>
  <si>
    <t>Quản lý quyền riêng tư dữ liệu đang bắt đầu được xác định ở một số bộ phận, đơn vị chức năng.</t>
  </si>
  <si>
    <t>Quản lý quyền riêng tư dữ liệu phù hợp với các yêu cầu quy định về bảo vệ dữ liệu và quyền riêng tư và được sử dụng hiệu quả trong một số lĩnh vực chức năng.</t>
  </si>
  <si>
    <t>Quản lý quyền riêng tư dữ liệu phù hợp với các yêu cầu quy định về bảo vệ dữ liệu và quyền riêng tư và được sử dụng hiệu quả trong toàn doanh nghiệp.</t>
  </si>
  <si>
    <t>Quản lý quyền riêng tư dữ liệu phù hợp với các yêu cầu quy định về bảo vệ dữ liệu và quyền riêng tư, đồng thời được sử dụng hiệu quả trong toàn bộ doanh nghiệp và các đối tác trong hệ sinh thái của doanh nghiệp.</t>
  </si>
  <si>
    <t>Kỹ thuật dữ liệu</t>
  </si>
  <si>
    <t>6.2.1</t>
  </si>
  <si>
    <t>Mô hình hoá dữ liệu</t>
  </si>
  <si>
    <t>Chưa thấy công bố về mô hình hóa dữ liệu.</t>
  </si>
  <si>
    <t>Dữ liệu sử dụng bởi doanh nghiệp chưa được xác định và phân loại.</t>
  </si>
  <si>
    <t>Dữ liệu sử dụng bởi một số bộ phận, đơn vị chức năng được xác định và phân loại thành nhiều mô hình dữ liệu.</t>
  </si>
  <si>
    <t>Dữ liệu sử dụng trong hầu hết bộ phận, đơn vị chức năng được xác định và phân loại thành nhiều mô hình dữ liệu.</t>
  </si>
  <si>
    <t>Dữ liệu toàn doanh nghiệp sử dụng được xác định và phân loại thành một mô hình dữ liệu chung.</t>
  </si>
  <si>
    <t>Dữ liệu sử dụng bởi doanh nghiệp và các đối tác trong hệ sinh thái của doanh nghiệp được xác định và phân loại thành một mô hình dữ liệu chung.</t>
  </si>
  <si>
    <t>6.2.2</t>
  </si>
  <si>
    <t>Lưu trữ dữ liệu</t>
  </si>
  <si>
    <t>Chưa thấy công bố về lưu trữ và xóa dữ liệu (chỉ thấy đầu tư mở rộng khả năng lưu trữ).</t>
  </si>
  <si>
    <t>Lưu trữ, bảo tồn và xóa dữ liệu được thực hiện theo sự vụ.</t>
  </si>
  <si>
    <t>Một số thao tác xóa và lưu trữ dữ liệu được kiểm soát ở một số bộ phận, đơn vị chức năng.</t>
  </si>
  <si>
    <t>Việc xóa và lưu trữ dữ liệu được kiểm soát trong các bộ phận, đơn vị chức năng.</t>
  </si>
  <si>
    <t>Việc xóa và lưu trữ dữ liệu được kiểm soát tối ưu trong toàn doanh nghiệp.</t>
  </si>
  <si>
    <t>Lưu trữ, xóa và lưu trữ được kiểm soát tối ưu trong toàn doanh nghiệp và các đối tác trong hệ sinh thái của doanh nghiệp.</t>
  </si>
  <si>
    <t>6.2.3</t>
  </si>
  <si>
    <t>Khả năng truy cập dữ liệu</t>
  </si>
  <si>
    <t>Chưa thấy công bố về khả năng truy cập dữ liệu.</t>
  </si>
  <si>
    <t>Khả năng truy cập dữ liệu bị hạn chế.</t>
  </si>
  <si>
    <t>Dữ liệu có thể được truy cập bởi một số bộ phận, đơn vị chức năng.</t>
  </si>
  <si>
    <t>Dữ liệu cần thiết luôn có thể được truy cập bởi các bộ phận, đơn vị chức năng.</t>
  </si>
  <si>
    <t>Dữ liệu cần thiết luôn có thể được truy cập bởi người dùng được doanh nghiệp cấp quyền.</t>
  </si>
  <si>
    <t>Dữ liệu cần thiết luôn có thể được truy cập bởi người dùng được phê duyệt cho doanh nghiệp và đối tác của hệ sinh thái của doanh nghiệp.</t>
  </si>
  <si>
    <t>6.2.4</t>
  </si>
  <si>
    <t>Quản lý vòng đời dữ liệu</t>
  </si>
  <si>
    <t>Chưa thấy công bố về quản lý vòng đời dữ liệu.</t>
  </si>
  <si>
    <t>Quản lý vòng đời dữ liệu được thực hiện theo sự vụ.</t>
  </si>
  <si>
    <t>Quản lý vòng đời dữ liệu được áp dụng ở một số bộ phận, đơn vị chức năng.</t>
  </si>
  <si>
    <t>Quản lý vòng đời dữ liệu được áp dụng nhất quán trong các bộ phận, đơn vị chức năng.</t>
  </si>
  <si>
    <t>Quản lý vòng đời dữ liệu được áp dụng nhất quán trong toàn doanh nghiệp.</t>
  </si>
  <si>
    <t>Quản lý vòng đời dữ liệu được áp dụng nhất quán trong toàn doanh nghiệp và các đối tác trong hệ sinh thái của doanh nghiệp.</t>
  </si>
  <si>
    <t>6.2.5</t>
  </si>
  <si>
    <t>Thu thập dữ liệu</t>
  </si>
  <si>
    <t>Thu thập sinh trắc học và dữ liệu danh tính khách hàng qua CCCD gắn chip/VNeID, làm sạch thông tin với cơ sở dữ liệu quốc gia về dân cư.</t>
  </si>
  <si>
    <t>BCTN 2025 Vietcombank; Báo Chính phủ 1/7/2024: Vietcombank là ngân hàng đầu tiên khai thác Dịch vụ xác thực điện tử của Bộ Công an; Stockbiz/Tạp chí Kinh tế Tài chính 2026: Vietcombank và hành trình đưa ngân hàng số vào đời sống (số liệu cuối 2025)</t>
  </si>
  <si>
    <t>Dữ liệu được thu thập được thực hiện theo sự vụ.</t>
  </si>
  <si>
    <t>Việc thu thập dữ liệu được thực hiện nhất quán ở một số bộ phận, đơn vị chức năng.</t>
  </si>
  <si>
    <t>Thu thập dữ liệu được tối ưu hóa trong các bộ phận, đơn vị chức năng.</t>
  </si>
  <si>
    <t>Thu thập dữ liệu được tối ưu hóa trên toàn doanh nghiệp.</t>
  </si>
  <si>
    <t>Việc thu thập dữ liệu được tối ưu hóa trên toàn doanh nghiệp và các đối tác trong hệ sinh thái.</t>
  </si>
  <si>
    <t>6.2.6</t>
  </si>
  <si>
    <t>Đảm bảo tính toàn vẹn dữ liệu</t>
  </si>
  <si>
    <t>Đối chiếu thông tin sinh trắc học cho hơn 14,7 triệu KH cá nhân và hơn 242 nghìn hồ sơ KH tổ chức với dữ liệu của Bộ Công an.</t>
  </si>
  <si>
    <t>BCTN 2025 Vietcombank; Báo Chính phủ 1/7/2024: Vietcombank là ngân hàng đầu tiên khai thác Dịch vụ xác thực điện tử của Bộ Công an</t>
  </si>
  <si>
    <t>Đảm bảo tính toàn vẹn dữ liệu được thực hiện theo sự vụ.</t>
  </si>
  <si>
    <t>Tính toàn vẹn dữ liệu được đảm bảo ở một số bộ phận, đơn vị chức năng.</t>
  </si>
  <si>
    <t>Tính toàn vẹn dữ liệu được đảm bảo trên hầu hết các bộ phận, đơn vị chức năng.</t>
  </si>
  <si>
    <t>Tính toàn vẹn dữ liệu được đảm bảo trên toàn doanh nghiệp.</t>
  </si>
  <si>
    <t>Tính toàn vẹn của dữ liệu được đảm bảo trong toàn doanh nghiệp và các đối tác trong hệ sinh thái.</t>
  </si>
  <si>
    <t>6.2.7</t>
  </si>
  <si>
    <t>Trực quan hóa dữ liệu</t>
  </si>
  <si>
    <t>Chưa thấy công bố về trực quan hóa dữ liệu.</t>
  </si>
  <si>
    <t>Dữ liệu được trình bày theo sự vụ.</t>
  </si>
  <si>
    <t>Dữ liệu được trình bày ở một số bộ phận, đơn vị chức năng.</t>
  </si>
  <si>
    <t>Dữ liệu được trình bày theo cách tối ưu trong các bộ phận, đơn vị chức năng.</t>
  </si>
  <si>
    <t>Dữ liệu được trình bày theo cách tối ưu trong toàn doanh nghiệp.</t>
  </si>
  <si>
    <t>Dữ liệu được trình bày theo cách tối ưu trong doanh nghiệp và các đối tác trong hệ sinh thái.</t>
  </si>
  <si>
    <t>Hiện thực hóa giá trị từ dữ liệu</t>
  </si>
  <si>
    <t>6.3.1</t>
  </si>
  <si>
    <t>Ra quyết định dựa trên dữ liệu</t>
  </si>
  <si>
    <t>Định hướng 2026 tích hợp phân tích dữ liệu, mô hình dự báo, AI để hỗ trợ ra quyết định; có hệ thống quản lý rủi ro mô hình.</t>
  </si>
  <si>
    <t>24-25; 40-41 (BCTN); web</t>
  </si>
  <si>
    <t>Các quyết định của doanh nghiệp hiếm khi dựa trên dữ liệu.</t>
  </si>
  <si>
    <t>Một số bộ phận, đơn vị chức năng của doanh nghiệp đưa ra quyết định dựa trên dữ liệu.</t>
  </si>
  <si>
    <t>Hầu hết các quyết định của doanh nghiệp được đưa ra dựa trên dữ liệu cấp bộ phận, đơn vị chức năng.</t>
  </si>
  <si>
    <t>Các quyết định của doanh nghiệp được đưa ra dựa trên dữ liệu từ khắp doanh nghiệp.</t>
  </si>
  <si>
    <t>Các quyết định của doanh nghiệp được đưa ra dựa trên dữ liệu từ khắp doanh nghiệp và các đối tác trong hệ sinh thái của doanh nghiệp.</t>
  </si>
  <si>
    <t>6.3.2</t>
  </si>
  <si>
    <t>Năng lực khoa học dữ liệu</t>
  </si>
  <si>
    <t>Khối Dữ liệu có Trung tâm Kỹ thuật và Khoa học dữ liệu (Phòng Khoa học dữ liệu); Nhóm nghiên cứu rủi ro AI.</t>
  </si>
  <si>
    <t>web; 64-65 (BCTN)</t>
  </si>
  <si>
    <t>Khả năng khoa học dữ liệu chưa tồn tại.</t>
  </si>
  <si>
    <t>Khả năng khoa học dữ liệu tồn tại với một số bộ phận, đơn vị chức năng.</t>
  </si>
  <si>
    <t>Khả năng khoa học dữ liệu tồn tại trên các bộ phận, đơn vị chức năng.</t>
  </si>
  <si>
    <t>Khả năng Khoa học dữ liệu hiệu quả được tối ưu hóa trong toàn doanh nghiệp.</t>
  </si>
  <si>
    <t>Các năng lực Khoa học dữ liệu hiệu quả được tối ưu hóa trong toàn doanh nghiệp và các đối tác trong hệ sinh thái của doanh nghiệp.</t>
  </si>
  <si>
    <t>6.3.3</t>
  </si>
  <si>
    <t>Khai thác giá trị kinh tế từ dữ liệu</t>
  </si>
  <si>
    <t>Chưa thấy công bố giá trị kinh tế đo lường được từ dữ liệu.</t>
  </si>
  <si>
    <t>Doanh nghiệp chưa tạo ra giá trị đo lường được từ dữ liệu.</t>
  </si>
  <si>
    <t>Doanh nghiệp tạo ra một số giá trị đo lường được từ dữ liệu.</t>
  </si>
  <si>
    <t>Doanh nghiệp tạo ra giá trị đáng kể có thể đo lường từ dữ liệu trong các bộ phận, đơn vị chức năng cụ thể.</t>
  </si>
  <si>
    <t>Doanh nghiệp tạo ra giá trị đáng kể có thể đo lường từ dữ liệu và được tối ưu hóa trong toàn doanh nghiệp.</t>
  </si>
  <si>
    <t>Doanh nghiệp tạo ra giá trị đáng kể có thể đo lường được từ dữ liệu và được tối ưu hóa trên toàn doanh nghiệp và các đối tác trong hệ sinh thái.</t>
  </si>
</sst>
</file>

<file path=xl/styles.xml><?xml version="1.0" encoding="utf-8"?>
<styleSheet xmlns="http://schemas.openxmlformats.org/spreadsheetml/2006/main" xmlns:x14ac="http://schemas.microsoft.com/office/spreadsheetml/2009/9/ac" xmlns:mc="http://schemas.openxmlformats.org/markup-compatibility/2006">
  <fonts count="13">
    <font>
      <sz val="11.0"/>
      <color theme="1"/>
      <name val="Calibri"/>
      <scheme val="minor"/>
    </font>
    <font>
      <b/>
      <sz val="14.0"/>
      <color rgb="FF1F3864"/>
      <name val="Arial"/>
    </font>
    <font>
      <b/>
      <sz val="11.0"/>
      <color theme="1"/>
      <name val="Arial"/>
    </font>
    <font>
      <sz val="11.0"/>
      <color rgb="FF0000FF"/>
      <name val="Arial"/>
    </font>
    <font>
      <b/>
      <sz val="10.0"/>
      <color rgb="FFFFFFFF"/>
      <name val="Arial"/>
    </font>
    <font>
      <i/>
      <sz val="9.0"/>
      <color rgb="FF7F7F7F"/>
      <name val="Arial"/>
    </font>
    <font>
      <b/>
      <sz val="12.0"/>
      <color rgb="FF1F3864"/>
      <name val="Arial"/>
    </font>
    <font>
      <sz val="10.0"/>
      <color theme="1"/>
      <name val="Arial"/>
    </font>
    <font>
      <b/>
      <sz val="10.0"/>
      <color theme="1"/>
      <name val="Arial"/>
    </font>
    <font>
      <b/>
      <sz val="11.0"/>
      <color rgb="FFFFFFFF"/>
      <name val="Arial"/>
    </font>
    <font>
      <sz val="10.0"/>
      <color rgb="FF7F7F7F"/>
      <name val="Arial"/>
    </font>
    <font>
      <u/>
      <sz val="10.0"/>
      <color rgb="FF0000FF"/>
      <name val="Arial"/>
    </font>
    <font>
      <sz val="9.0"/>
      <color theme="1"/>
      <name val="Arial"/>
    </font>
  </fonts>
  <fills count="12">
    <fill>
      <patternFill patternType="none"/>
    </fill>
    <fill>
      <patternFill patternType="lightGray"/>
    </fill>
    <fill>
      <patternFill patternType="solid">
        <fgColor rgb="FF1F3864"/>
        <bgColor rgb="FF1F3864"/>
      </patternFill>
    </fill>
    <fill>
      <patternFill patternType="solid">
        <fgColor rgb="FFFFF2CC"/>
        <bgColor rgb="FFFFF2CC"/>
      </patternFill>
    </fill>
    <fill>
      <patternFill patternType="solid">
        <fgColor rgb="FFBF8F00"/>
        <bgColor rgb="FFBF8F00"/>
      </patternFill>
    </fill>
    <fill>
      <patternFill patternType="solid">
        <fgColor rgb="FF595959"/>
        <bgColor rgb="FF595959"/>
      </patternFill>
    </fill>
    <fill>
      <patternFill patternType="solid">
        <fgColor rgb="FFDDEBF7"/>
        <bgColor rgb="FFDDEBF7"/>
      </patternFill>
    </fill>
    <fill>
      <patternFill patternType="solid">
        <fgColor rgb="FFF2F2F2"/>
        <bgColor rgb="FFF2F2F2"/>
      </patternFill>
    </fill>
    <fill>
      <patternFill patternType="solid">
        <fgColor rgb="FFE2EFDA"/>
        <bgColor rgb="FFE2EFDA"/>
      </patternFill>
    </fill>
    <fill>
      <patternFill patternType="solid">
        <fgColor rgb="FFFCE4D6"/>
        <bgColor rgb="FFFCE4D6"/>
      </patternFill>
    </fill>
    <fill>
      <patternFill patternType="solid">
        <fgColor rgb="FFEDEDED"/>
        <bgColor rgb="FFEDEDED"/>
      </patternFill>
    </fill>
    <fill>
      <patternFill patternType="solid">
        <fgColor rgb="FFE4DFEC"/>
        <bgColor rgb="FFE4DFEC"/>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1" fillId="3" fontId="3" numFmtId="0" xfId="0" applyAlignment="1" applyBorder="1" applyFill="1" applyFont="1">
      <alignment shrinkToFit="0" vertical="bottom" wrapText="0"/>
    </xf>
    <xf borderId="1" fillId="2" fontId="4" numFmtId="0" xfId="0" applyAlignment="1" applyBorder="1" applyFill="1" applyFont="1">
      <alignment horizontal="center" shrinkToFit="0" vertical="center" wrapText="1"/>
    </xf>
    <xf borderId="0" fillId="0" fontId="5" numFmtId="0" xfId="0" applyAlignment="1" applyFont="1">
      <alignment shrinkToFit="0" vertical="bottom" wrapText="0"/>
    </xf>
    <xf borderId="1" fillId="4" fontId="4" numFmtId="0" xfId="0" applyAlignment="1" applyBorder="1" applyFill="1" applyFont="1">
      <alignment horizontal="center" shrinkToFit="0" vertical="center" wrapText="1"/>
    </xf>
    <xf borderId="0" fillId="0" fontId="6" numFmtId="0" xfId="0" applyAlignment="1" applyFont="1">
      <alignment shrinkToFit="0" vertical="bottom" wrapText="0"/>
    </xf>
    <xf borderId="1" fillId="5" fontId="4" numFmtId="0" xfId="0" applyAlignment="1" applyBorder="1" applyFill="1" applyFont="1">
      <alignment horizontal="center" shrinkToFit="0" vertical="center" wrapText="1"/>
    </xf>
    <xf borderId="0" fillId="0" fontId="7" numFmtId="0" xfId="0" applyAlignment="1" applyFont="1">
      <alignment shrinkToFit="0" vertical="top" wrapText="1"/>
    </xf>
    <xf borderId="1" fillId="6" fontId="7" numFmtId="0" xfId="0" applyAlignment="1" applyBorder="1" applyFill="1" applyFont="1">
      <alignment shrinkToFit="0" vertical="top" wrapText="1"/>
    </xf>
    <xf borderId="1" fillId="6" fontId="8" numFmtId="0" xfId="0" applyAlignment="1" applyBorder="1" applyFill="1" applyFont="1">
      <alignment horizontal="center" shrinkToFit="0" vertical="top" wrapText="1"/>
    </xf>
    <xf borderId="1" fillId="2" fontId="9" numFmtId="0" xfId="0" applyAlignment="1" applyBorder="1" applyFill="1" applyFont="1">
      <alignment shrinkToFit="0" vertical="bottom" wrapText="0"/>
    </xf>
    <xf borderId="1" fillId="0" fontId="10" numFmtId="0" xfId="0" applyAlignment="1" applyBorder="1" applyFont="1">
      <alignment shrinkToFit="0" vertical="top" wrapText="1"/>
    </xf>
    <xf borderId="1" fillId="2" fontId="9" numFmtId="0" xfId="0" applyAlignment="1" applyBorder="1" applyFill="1" applyFont="1">
      <alignment horizontal="center" shrinkToFit="0" vertical="bottom" wrapText="1"/>
    </xf>
    <xf borderId="1" fillId="3" fontId="7" numFmtId="0" xfId="0" applyAlignment="1" applyBorder="1" applyFill="1" applyFont="1">
      <alignment horizontal="center" readingOrder="0" shrinkToFit="0" vertical="top" wrapText="1"/>
    </xf>
    <xf borderId="1" fillId="3" fontId="7" numFmtId="0" xfId="0" applyAlignment="1" applyBorder="1" applyFill="1" applyFont="1">
      <alignment readingOrder="0" shrinkToFit="0" vertical="top" wrapText="1"/>
    </xf>
    <xf borderId="1" fillId="0" fontId="7" numFmtId="0" xfId="0" applyAlignment="1" applyBorder="1" applyFont="1">
      <alignment shrinkToFit="0" vertical="bottom" wrapText="0"/>
    </xf>
    <xf borderId="1" fillId="3" fontId="11" numFmtId="0" xfId="0" applyAlignment="1" applyBorder="1" applyFill="1" applyFont="1">
      <alignment readingOrder="0" shrinkToFit="0" vertical="top" wrapText="1"/>
    </xf>
    <xf borderId="1" fillId="0" fontId="7" numFmtId="0" xfId="0" applyAlignment="1" applyBorder="1" applyFont="1">
      <alignment horizontal="center" shrinkToFit="0" vertical="bottom" wrapText="0"/>
    </xf>
    <xf borderId="1" fillId="7" fontId="12" numFmtId="0" xfId="0" applyAlignment="1" applyBorder="1" applyFill="1" applyFont="1">
      <alignment shrinkToFit="0" vertical="top" wrapText="1"/>
    </xf>
    <xf borderId="1" fillId="3" fontId="7" numFmtId="0" xfId="0" applyAlignment="1" applyBorder="1" applyFill="1" applyFont="1">
      <alignment shrinkToFit="0" vertical="top" wrapText="1"/>
    </xf>
    <xf borderId="1" fillId="3" fontId="7" numFmtId="0" xfId="0" applyAlignment="1" applyBorder="1" applyFill="1" applyFont="1">
      <alignment horizontal="center" shrinkToFit="0" vertical="top" wrapText="1"/>
    </xf>
    <xf borderId="1" fillId="7" fontId="8" numFmtId="0" xfId="0" applyAlignment="1" applyBorder="1" applyFill="1" applyFont="1">
      <alignment shrinkToFit="0" vertical="bottom" wrapText="0"/>
    </xf>
    <xf borderId="1" fillId="7" fontId="8" numFmtId="0" xfId="0" applyAlignment="1" applyBorder="1" applyFill="1" applyFont="1">
      <alignment horizontal="center" shrinkToFit="0" vertical="bottom" wrapText="0"/>
    </xf>
    <xf borderId="0" fillId="0" fontId="7" numFmtId="0" xfId="0" applyAlignment="1" applyFont="1">
      <alignment shrinkToFit="0" vertical="bottom" wrapText="0"/>
    </xf>
    <xf borderId="1" fillId="0" fontId="2" numFmtId="0" xfId="0" applyAlignment="1" applyBorder="1" applyFont="1">
      <alignment horizontal="center" shrinkToFit="0" vertical="bottom" wrapText="0"/>
    </xf>
    <xf borderId="1" fillId="8" fontId="7" numFmtId="0" xfId="0" applyAlignment="1" applyBorder="1" applyFill="1" applyFont="1">
      <alignment shrinkToFit="0" vertical="top" wrapText="1"/>
    </xf>
    <xf borderId="1" fillId="8" fontId="8" numFmtId="0" xfId="0" applyAlignment="1" applyBorder="1" applyFill="1" applyFont="1">
      <alignment horizontal="center" shrinkToFit="0" vertical="top" wrapText="1"/>
    </xf>
    <xf borderId="1" fillId="9" fontId="7" numFmtId="0" xfId="0" applyAlignment="1" applyBorder="1" applyFill="1" applyFont="1">
      <alignment shrinkToFit="0" vertical="top" wrapText="1"/>
    </xf>
    <xf borderId="1" fillId="9" fontId="8" numFmtId="0" xfId="0" applyAlignment="1" applyBorder="1" applyFill="1" applyFont="1">
      <alignment horizontal="center" shrinkToFit="0" vertical="top" wrapText="1"/>
    </xf>
    <xf borderId="1" fillId="10" fontId="7" numFmtId="0" xfId="0" applyAlignment="1" applyBorder="1" applyFill="1" applyFont="1">
      <alignment shrinkToFit="0" vertical="top" wrapText="1"/>
    </xf>
    <xf borderId="1" fillId="10" fontId="8" numFmtId="0" xfId="0" applyAlignment="1" applyBorder="1" applyFill="1" applyFont="1">
      <alignment horizontal="center" shrinkToFit="0" vertical="top" wrapText="1"/>
    </xf>
    <xf borderId="1" fillId="3" fontId="8" numFmtId="0" xfId="0" applyAlignment="1" applyBorder="1" applyFill="1" applyFont="1">
      <alignment horizontal="center" shrinkToFit="0" vertical="top" wrapText="1"/>
    </xf>
    <xf borderId="1" fillId="11" fontId="7" numFmtId="0" xfId="0" applyAlignment="1" applyBorder="1" applyFill="1" applyFont="1">
      <alignment shrinkToFit="0" vertical="top" wrapText="1"/>
    </xf>
    <xf borderId="1" fillId="11" fontId="8" numFmtId="0" xfId="0" applyAlignment="1" applyBorder="1" applyFill="1" applyFont="1">
      <alignment horizontal="center" shrinkToFit="0" vertical="top" wrapText="1"/>
    </xf>
  </cellXfs>
  <cellStyles count="1">
    <cellStyle xfId="0" name="Normal" builtinId="0"/>
  </cellStyles>
  <dxfs count="2">
    <dxf>
      <font/>
      <fill>
        <patternFill patternType="solid">
          <fgColor rgb="FFF8CBAD"/>
          <bgColor rgb="FFF8CBAD"/>
        </patternFill>
      </fill>
      <border/>
    </dxf>
    <dxf>
      <font/>
      <fill>
        <patternFill patternType="solid">
          <fgColor rgb="FFD9D9D9"/>
          <bgColor rgb="FFD9D9D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vietcombank.com.vn/vi-VN/Trang-thong-tin-dien-tu/Articles/2025/07/01/20250701_VCB-nhan-gia-VIE10-VIE50" TargetMode="External"/><Relationship Id="rId2" Type="http://schemas.openxmlformats.org/officeDocument/2006/relationships/hyperlink" Target="https://vneconomy.vn/vietcombank-mo-tai-khoan-truc-tuyen-tich-hop-thong-tin-sinh-trac-hoc.htm" TargetMode="External"/><Relationship Id="rId3" Type="http://schemas.openxmlformats.org/officeDocument/2006/relationships/hyperlink" Target="https://www.vietcombank.com.vn/vi-VN/Trang-thong-tin-dien-tu/Articles/2025/06/24/20250624_DTH_Le-khoi-dong-du-an" TargetMode="External"/><Relationship Id="rId4" Type="http://schemas.openxmlformats.org/officeDocument/2006/relationships/hyperlink" Target="https://www.vietcombank.com.vn/vi-VN/Trang-thong-tin-dien-tu/Articles/2024/06/24/20240624_mktbl_olympic-paris" TargetMode="External"/><Relationship Id="rId5" Type="http://schemas.openxmlformats.org/officeDocument/2006/relationships/hyperlink" Target="https://vneconomy.vn/vietcombank-mo-tai-khoan-truc-tuyen-tich-hop-thong-tin-sinh-trac-hoc.htm" TargetMode="External"/><Relationship Id="rId6"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0"/>
    <col customWidth="1" min="2" max="5" width="22.0"/>
    <col customWidth="1" min="6" max="26" width="8.71"/>
  </cols>
  <sheetData>
    <row r="1">
      <c r="A1" s="1" t="s">
        <v>0</v>
      </c>
    </row>
    <row r="3">
      <c r="A3" s="2" t="s">
        <v>2</v>
      </c>
      <c r="B3" s="3" t="s">
        <v>3</v>
      </c>
      <c r="C3" s="5" t="s">
        <v>4</v>
      </c>
    </row>
    <row r="4">
      <c r="A4" s="2" t="s">
        <v>6</v>
      </c>
      <c r="B4" s="3" t="s">
        <v>8</v>
      </c>
    </row>
    <row r="5">
      <c r="A5" s="2" t="s">
        <v>14</v>
      </c>
      <c r="B5" s="3">
        <v>2025.0</v>
      </c>
    </row>
    <row r="6">
      <c r="A6" s="2" t="s">
        <v>17</v>
      </c>
      <c r="B6" s="3" t="s">
        <v>18</v>
      </c>
    </row>
    <row r="8">
      <c r="A8" s="7" t="s">
        <v>20</v>
      </c>
    </row>
    <row r="9" ht="30.0" customHeight="1">
      <c r="A9" s="9" t="s">
        <v>23</v>
      </c>
    </row>
    <row r="10" ht="30.0" customHeight="1">
      <c r="A10" s="9" t="s">
        <v>26</v>
      </c>
    </row>
    <row r="11" ht="30.0" customHeight="1">
      <c r="A11" s="9" t="s">
        <v>28</v>
      </c>
    </row>
    <row r="12" ht="30.0" customHeight="1">
      <c r="A12" s="9" t="s">
        <v>30</v>
      </c>
    </row>
    <row r="13" ht="30.0" customHeight="1">
      <c r="A13" s="9" t="s">
        <v>32</v>
      </c>
    </row>
    <row r="14" ht="30.0" customHeight="1">
      <c r="A14" s="9" t="s">
        <v>34</v>
      </c>
    </row>
    <row r="15" ht="30.0" customHeight="1">
      <c r="A15" s="9" t="s">
        <v>35</v>
      </c>
    </row>
    <row r="16" ht="30.0" customHeight="1">
      <c r="A16" s="9" t="s">
        <v>36</v>
      </c>
    </row>
    <row r="17" ht="30.0" customHeight="1">
      <c r="A17" s="9" t="s">
        <v>37</v>
      </c>
    </row>
    <row r="19">
      <c r="A19" s="7" t="s">
        <v>38</v>
      </c>
    </row>
    <row r="20">
      <c r="A20" s="12" t="s">
        <v>7</v>
      </c>
      <c r="B20" s="12" t="s">
        <v>10</v>
      </c>
      <c r="C20" s="12" t="s">
        <v>11</v>
      </c>
      <c r="D20" s="12" t="s">
        <v>12</v>
      </c>
      <c r="E20" s="12" t="s">
        <v>13</v>
      </c>
      <c r="F20" s="12" t="s">
        <v>15</v>
      </c>
    </row>
    <row r="21" ht="54.75" customHeight="1">
      <c r="A21" s="13" t="s">
        <v>31</v>
      </c>
      <c r="B21" s="13">
        <v>3.0</v>
      </c>
      <c r="C21" s="13" t="s">
        <v>39</v>
      </c>
      <c r="D21" s="13" t="s">
        <v>40</v>
      </c>
      <c r="E21" s="13">
        <v>45.0</v>
      </c>
      <c r="F21" s="13">
        <v>2025.0</v>
      </c>
    </row>
    <row r="22" ht="15.75" customHeight="1">
      <c r="A22" s="13" t="s">
        <v>41</v>
      </c>
      <c r="B22" s="13" t="s">
        <v>42</v>
      </c>
      <c r="C22" s="13" t="s">
        <v>43</v>
      </c>
      <c r="D22" s="13"/>
      <c r="E22" s="13"/>
      <c r="F22" s="13"/>
    </row>
    <row r="23" ht="15.75" customHeight="1"/>
    <row r="24" ht="15.75" customHeight="1"/>
    <row r="25" ht="15.75" customHeight="1">
      <c r="A25" s="7" t="s">
        <v>44</v>
      </c>
    </row>
    <row r="26" ht="15.75" customHeight="1">
      <c r="A26" s="14" t="s">
        <v>1</v>
      </c>
      <c r="B26" s="14" t="s">
        <v>45</v>
      </c>
      <c r="C26" s="14" t="s">
        <v>46</v>
      </c>
      <c r="D26" s="14" t="s">
        <v>42</v>
      </c>
      <c r="E26" s="14" t="s">
        <v>47</v>
      </c>
    </row>
    <row r="27" ht="15.75" customHeight="1">
      <c r="A27" s="17" t="s">
        <v>27</v>
      </c>
      <c r="B27" s="19">
        <f>COUNTIF('Chấm điểm'!$A$2:$A$141,A27)</f>
        <v>25</v>
      </c>
      <c r="C27" s="19">
        <f>COUNTIFS('Chấm điểm'!$A$2:$A$141,A27,'Chấm điểm'!$E$2:$E$141,"&gt;=1",'Chấm điểm'!$E$2:$E$141,"&lt;=5")</f>
        <v>20</v>
      </c>
      <c r="D27" s="19">
        <f>COUNTIFS('Chấm điểm'!$A$2:$A$141,A27,'Chấm điểm'!$E$2:$E$141,"N/A")</f>
        <v>5</v>
      </c>
      <c r="E27" s="19">
        <f t="shared" ref="E27:E32" si="1">B27-C27-D27</f>
        <v>0</v>
      </c>
    </row>
    <row r="28" ht="15.75" customHeight="1">
      <c r="A28" s="17" t="s">
        <v>68</v>
      </c>
      <c r="B28" s="19">
        <f>COUNTIF('Chấm điểm'!$A$2:$A$141,A28)</f>
        <v>24</v>
      </c>
      <c r="C28" s="19">
        <f>COUNTIFS('Chấm điểm'!$A$2:$A$141,A28,'Chấm điểm'!$E$2:$E$141,"&gt;=1",'Chấm điểm'!$E$2:$E$141,"&lt;=5")</f>
        <v>21</v>
      </c>
      <c r="D28" s="19">
        <f>COUNTIFS('Chấm điểm'!$A$2:$A$141,A28,'Chấm điểm'!$E$2:$E$141,"N/A")</f>
        <v>3</v>
      </c>
      <c r="E28" s="19">
        <f t="shared" si="1"/>
        <v>0</v>
      </c>
    </row>
    <row r="29" ht="15.75" customHeight="1">
      <c r="A29" s="17" t="s">
        <v>96</v>
      </c>
      <c r="B29" s="19">
        <f>COUNTIF('Chấm điểm'!$A$2:$A$141,A29)</f>
        <v>29</v>
      </c>
      <c r="C29" s="19">
        <f>COUNTIFS('Chấm điểm'!$A$2:$A$141,A29,'Chấm điểm'!$E$2:$E$141,"&gt;=1",'Chấm điểm'!$E$2:$E$141,"&lt;=5")</f>
        <v>16</v>
      </c>
      <c r="D29" s="19">
        <f>COUNTIFS('Chấm điểm'!$A$2:$A$141,A29,'Chấm điểm'!$E$2:$E$141,"N/A")</f>
        <v>13</v>
      </c>
      <c r="E29" s="19">
        <f t="shared" si="1"/>
        <v>0</v>
      </c>
    </row>
    <row r="30" ht="15.75" customHeight="1">
      <c r="A30" s="17" t="s">
        <v>111</v>
      </c>
      <c r="B30" s="19">
        <f>COUNTIF('Chấm điểm'!$A$2:$A$141,A30)</f>
        <v>22</v>
      </c>
      <c r="C30" s="19">
        <f>COUNTIFS('Chấm điểm'!$A$2:$A$141,A30,'Chấm điểm'!$E$2:$E$141,"&gt;=1",'Chấm điểm'!$E$2:$E$141,"&lt;=5")</f>
        <v>15</v>
      </c>
      <c r="D30" s="19">
        <f>COUNTIFS('Chấm điểm'!$A$2:$A$141,A30,'Chấm điểm'!$E$2:$E$141,"N/A")</f>
        <v>7</v>
      </c>
      <c r="E30" s="19">
        <f t="shared" si="1"/>
        <v>0</v>
      </c>
    </row>
    <row r="31" ht="15.75" customHeight="1">
      <c r="A31" s="17" t="s">
        <v>131</v>
      </c>
      <c r="B31" s="19">
        <f>COUNTIF('Chấm điểm'!$A$2:$A$141,A31)</f>
        <v>22</v>
      </c>
      <c r="C31" s="19">
        <f>COUNTIFS('Chấm điểm'!$A$2:$A$141,A31,'Chấm điểm'!$E$2:$E$141,"&gt;=1",'Chấm điểm'!$E$2:$E$141,"&lt;=5")</f>
        <v>20</v>
      </c>
      <c r="D31" s="19">
        <f>COUNTIFS('Chấm điểm'!$A$2:$A$141,A31,'Chấm điểm'!$E$2:$E$141,"N/A")</f>
        <v>2</v>
      </c>
      <c r="E31" s="19">
        <f t="shared" si="1"/>
        <v>0</v>
      </c>
    </row>
    <row r="32" ht="15.75" customHeight="1">
      <c r="A32" s="17" t="s">
        <v>138</v>
      </c>
      <c r="B32" s="19">
        <f>COUNTIF('Chấm điểm'!$A$2:$A$141,A32)</f>
        <v>18</v>
      </c>
      <c r="C32" s="19">
        <f>COUNTIFS('Chấm điểm'!$A$2:$A$141,A32,'Chấm điểm'!$E$2:$E$141,"&gt;=1",'Chấm điểm'!$E$2:$E$141,"&lt;=5")</f>
        <v>10</v>
      </c>
      <c r="D32" s="19">
        <f>COUNTIFS('Chấm điểm'!$A$2:$A$141,A32,'Chấm điểm'!$E$2:$E$141,"N/A")</f>
        <v>8</v>
      </c>
      <c r="E32" s="19">
        <f t="shared" si="1"/>
        <v>0</v>
      </c>
    </row>
    <row r="33" ht="15.75" customHeight="1">
      <c r="A33" s="23" t="s">
        <v>173</v>
      </c>
      <c r="B33" s="24">
        <f t="shared" ref="B33:E33" si="2">SUM(B27:B32)</f>
        <v>140</v>
      </c>
      <c r="C33" s="24">
        <f t="shared" si="2"/>
        <v>102</v>
      </c>
      <c r="D33" s="24">
        <f t="shared" si="2"/>
        <v>38</v>
      </c>
      <c r="E33" s="24">
        <f t="shared" si="2"/>
        <v>0</v>
      </c>
    </row>
    <row r="34" ht="15.75" customHeight="1"/>
    <row r="35" ht="15.75" customHeight="1">
      <c r="A35" s="25" t="s">
        <v>191</v>
      </c>
      <c r="D35" s="26">
        <f>COUNTA('Chấm điểm'!$E$2:$E$141)-COUNT('Chấm điểm'!$E$2:$E$141)-COUNTIF('Chấm điểm'!$E$2:$E$141,"N/A")+COUNT('Chấm điểm'!$E$2:$E$141)-COUNTIFS('Chấm điểm'!$E$2:$E$141,"&gt;=1",'Chấm điểm'!$E$2:$E$141,"&lt;=5")</f>
        <v>0</v>
      </c>
    </row>
    <row r="36" ht="15.75" customHeight="1">
      <c r="A36" s="25" t="s">
        <v>231</v>
      </c>
      <c r="D36" s="26">
        <f>SUMPRODUCT(ISNUMBER('Chấm điểm'!$E$2:$E$141)*('Chấm điểm'!$F$2:$F$141=""))</f>
        <v>0</v>
      </c>
    </row>
    <row r="37" ht="15.75" customHeight="1">
      <c r="A37" s="25" t="s">
        <v>253</v>
      </c>
      <c r="D37" s="26">
        <f>SUMPRODUCT(ISNUMBER('Chấm điểm'!$E$2:$E$141)*('Chấm điểm'!$G$2:$G$141=""))</f>
        <v>0</v>
      </c>
    </row>
    <row r="38" ht="15.75" customHeight="1">
      <c r="A38" s="5" t="s">
        <v>270</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A16:F16"/>
    <mergeCell ref="A17:F17"/>
    <mergeCell ref="A35:C35"/>
    <mergeCell ref="A36:C36"/>
    <mergeCell ref="A37:C37"/>
    <mergeCell ref="A9:F9"/>
    <mergeCell ref="A10:F10"/>
    <mergeCell ref="A11:F11"/>
    <mergeCell ref="A12:F12"/>
    <mergeCell ref="A13:F13"/>
    <mergeCell ref="A14:F14"/>
    <mergeCell ref="A15:F15"/>
  </mergeCells>
  <conditionalFormatting sqref="D35:D37">
    <cfRule type="cellIs" dxfId="0" priority="1" operator="greaterThan">
      <formula>0</formula>
    </cfRule>
  </conditionalFormatting>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8F0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2.0"/>
    <col customWidth="1" min="2" max="2" width="28.0"/>
    <col customWidth="1" min="3" max="3" width="8.0"/>
    <col customWidth="1" min="4" max="4" width="30.0"/>
    <col customWidth="1" min="5" max="5" width="9.0"/>
    <col customWidth="1" min="6" max="6" width="55.0"/>
    <col customWidth="1" min="7" max="7" width="38.0"/>
    <col customWidth="1" min="8" max="8" width="9.0"/>
    <col customWidth="1" min="9" max="9" width="8.0"/>
    <col customWidth="1" min="10" max="10" width="25.0"/>
    <col customWidth="1" min="11" max="15" width="38.0"/>
    <col customWidth="1" min="16" max="26" width="8.71"/>
  </cols>
  <sheetData>
    <row r="1" ht="27.75" customHeight="1">
      <c r="A1" s="4" t="s">
        <v>1</v>
      </c>
      <c r="B1" s="4" t="s">
        <v>5</v>
      </c>
      <c r="C1" s="4" t="s">
        <v>7</v>
      </c>
      <c r="D1" s="4" t="s">
        <v>9</v>
      </c>
      <c r="E1" s="6" t="s">
        <v>10</v>
      </c>
      <c r="F1" s="6" t="s">
        <v>11</v>
      </c>
      <c r="G1" s="6" t="s">
        <v>12</v>
      </c>
      <c r="H1" s="6" t="s">
        <v>13</v>
      </c>
      <c r="I1" s="6" t="s">
        <v>15</v>
      </c>
      <c r="J1" s="6" t="s">
        <v>16</v>
      </c>
      <c r="K1" s="8" t="s">
        <v>19</v>
      </c>
      <c r="L1" s="8" t="s">
        <v>21</v>
      </c>
      <c r="M1" s="8" t="s">
        <v>22</v>
      </c>
      <c r="N1" s="8" t="s">
        <v>24</v>
      </c>
      <c r="O1" s="8" t="s">
        <v>25</v>
      </c>
    </row>
    <row r="2" ht="75.0" customHeight="1">
      <c r="A2" s="10" t="s">
        <v>27</v>
      </c>
      <c r="B2" s="10" t="s">
        <v>29</v>
      </c>
      <c r="C2" s="11" t="s">
        <v>31</v>
      </c>
      <c r="D2" s="10" t="s">
        <v>33</v>
      </c>
      <c r="E2" s="15">
        <v>2.0</v>
      </c>
      <c r="F2" s="16" t="s">
        <v>48</v>
      </c>
      <c r="G2" s="18" t="s">
        <v>49</v>
      </c>
      <c r="H2" s="15" t="s">
        <v>50</v>
      </c>
      <c r="I2" s="15">
        <v>2025.0</v>
      </c>
      <c r="J2" s="16" t="s">
        <v>51</v>
      </c>
      <c r="K2" s="20" t="s">
        <v>52</v>
      </c>
      <c r="L2" s="20" t="s">
        <v>53</v>
      </c>
      <c r="M2" s="20" t="s">
        <v>54</v>
      </c>
      <c r="N2" s="20" t="s">
        <v>55</v>
      </c>
      <c r="O2" s="20" t="s">
        <v>56</v>
      </c>
    </row>
    <row r="3" ht="75.0" customHeight="1">
      <c r="A3" s="10" t="s">
        <v>27</v>
      </c>
      <c r="B3" s="10" t="s">
        <v>29</v>
      </c>
      <c r="C3" s="11" t="s">
        <v>41</v>
      </c>
      <c r="D3" s="10" t="s">
        <v>57</v>
      </c>
      <c r="E3" s="15" t="s">
        <v>42</v>
      </c>
      <c r="F3" s="16" t="s">
        <v>43</v>
      </c>
      <c r="G3" s="21"/>
      <c r="H3" s="22"/>
      <c r="I3" s="22"/>
      <c r="J3" s="16" t="s">
        <v>58</v>
      </c>
      <c r="K3" s="20" t="s">
        <v>59</v>
      </c>
      <c r="L3" s="20" t="s">
        <v>60</v>
      </c>
      <c r="M3" s="20" t="s">
        <v>61</v>
      </c>
      <c r="N3" s="20" t="s">
        <v>62</v>
      </c>
      <c r="O3" s="20" t="s">
        <v>63</v>
      </c>
    </row>
    <row r="4" ht="75.0" customHeight="1">
      <c r="A4" s="10" t="s">
        <v>27</v>
      </c>
      <c r="B4" s="10" t="s">
        <v>29</v>
      </c>
      <c r="C4" s="11" t="s">
        <v>64</v>
      </c>
      <c r="D4" s="10" t="s">
        <v>65</v>
      </c>
      <c r="E4" s="15">
        <v>3.0</v>
      </c>
      <c r="F4" s="16" t="s">
        <v>66</v>
      </c>
      <c r="G4" s="18" t="s">
        <v>67</v>
      </c>
      <c r="H4" s="15" t="s">
        <v>69</v>
      </c>
      <c r="I4" s="15">
        <v>2025.0</v>
      </c>
      <c r="J4" s="21"/>
      <c r="K4" s="20" t="s">
        <v>70</v>
      </c>
      <c r="L4" s="20" t="s">
        <v>71</v>
      </c>
      <c r="M4" s="20" t="s">
        <v>72</v>
      </c>
      <c r="N4" s="20" t="s">
        <v>73</v>
      </c>
      <c r="O4" s="20" t="s">
        <v>74</v>
      </c>
    </row>
    <row r="5" ht="75.0" customHeight="1">
      <c r="A5" s="10" t="s">
        <v>27</v>
      </c>
      <c r="B5" s="10" t="s">
        <v>29</v>
      </c>
      <c r="C5" s="11" t="s">
        <v>75</v>
      </c>
      <c r="D5" s="10" t="s">
        <v>76</v>
      </c>
      <c r="E5" s="15">
        <v>3.0</v>
      </c>
      <c r="F5" s="16" t="s">
        <v>77</v>
      </c>
      <c r="G5" s="16" t="s">
        <v>78</v>
      </c>
      <c r="H5" s="15" t="s">
        <v>79</v>
      </c>
      <c r="I5" s="15">
        <v>2025.0</v>
      </c>
      <c r="J5" s="16" t="s">
        <v>80</v>
      </c>
      <c r="K5" s="20" t="s">
        <v>81</v>
      </c>
      <c r="L5" s="20" t="s">
        <v>82</v>
      </c>
      <c r="M5" s="20" t="s">
        <v>83</v>
      </c>
      <c r="N5" s="20" t="s">
        <v>84</v>
      </c>
      <c r="O5" s="20" t="s">
        <v>85</v>
      </c>
    </row>
    <row r="6" ht="75.0" customHeight="1">
      <c r="A6" s="10" t="s">
        <v>27</v>
      </c>
      <c r="B6" s="10" t="s">
        <v>29</v>
      </c>
      <c r="C6" s="11" t="s">
        <v>86</v>
      </c>
      <c r="D6" s="10" t="s">
        <v>87</v>
      </c>
      <c r="E6" s="15">
        <v>3.0</v>
      </c>
      <c r="F6" s="16" t="s">
        <v>88</v>
      </c>
      <c r="G6" s="16" t="s">
        <v>89</v>
      </c>
      <c r="H6" s="15" t="s">
        <v>90</v>
      </c>
      <c r="I6" s="15">
        <v>2025.0</v>
      </c>
      <c r="J6" s="21"/>
      <c r="K6" s="20" t="s">
        <v>91</v>
      </c>
      <c r="L6" s="20" t="s">
        <v>92</v>
      </c>
      <c r="M6" s="20" t="s">
        <v>93</v>
      </c>
      <c r="N6" s="20" t="s">
        <v>94</v>
      </c>
      <c r="O6" s="20" t="s">
        <v>95</v>
      </c>
    </row>
    <row r="7" ht="75.0" customHeight="1">
      <c r="A7" s="10" t="s">
        <v>27</v>
      </c>
      <c r="B7" s="10" t="s">
        <v>29</v>
      </c>
      <c r="C7" s="11" t="s">
        <v>97</v>
      </c>
      <c r="D7" s="10" t="s">
        <v>98</v>
      </c>
      <c r="E7" s="15">
        <v>4.0</v>
      </c>
      <c r="F7" s="16" t="s">
        <v>99</v>
      </c>
      <c r="G7" s="16" t="s">
        <v>78</v>
      </c>
      <c r="H7" s="15" t="s">
        <v>100</v>
      </c>
      <c r="I7" s="15">
        <v>2025.0</v>
      </c>
      <c r="J7" s="16" t="s">
        <v>101</v>
      </c>
      <c r="K7" s="20" t="s">
        <v>102</v>
      </c>
      <c r="L7" s="20" t="s">
        <v>103</v>
      </c>
      <c r="M7" s="20" t="s">
        <v>104</v>
      </c>
      <c r="N7" s="20" t="s">
        <v>105</v>
      </c>
      <c r="O7" s="20" t="s">
        <v>106</v>
      </c>
    </row>
    <row r="8" ht="75.0" customHeight="1">
      <c r="A8" s="10" t="s">
        <v>27</v>
      </c>
      <c r="B8" s="10" t="s">
        <v>29</v>
      </c>
      <c r="C8" s="11" t="s">
        <v>107</v>
      </c>
      <c r="D8" s="10" t="s">
        <v>108</v>
      </c>
      <c r="E8" s="15">
        <v>2.0</v>
      </c>
      <c r="F8" s="16" t="s">
        <v>109</v>
      </c>
      <c r="G8" s="18" t="s">
        <v>110</v>
      </c>
      <c r="H8" s="15" t="s">
        <v>112</v>
      </c>
      <c r="I8" s="15">
        <v>2025.0</v>
      </c>
      <c r="J8" s="16" t="s">
        <v>113</v>
      </c>
      <c r="K8" s="20" t="s">
        <v>114</v>
      </c>
      <c r="L8" s="20" t="s">
        <v>115</v>
      </c>
      <c r="M8" s="20" t="s">
        <v>116</v>
      </c>
      <c r="N8" s="20" t="s">
        <v>117</v>
      </c>
      <c r="O8" s="20" t="s">
        <v>118</v>
      </c>
    </row>
    <row r="9" ht="75.0" customHeight="1">
      <c r="A9" s="10" t="s">
        <v>27</v>
      </c>
      <c r="B9" s="10" t="s">
        <v>29</v>
      </c>
      <c r="C9" s="11" t="s">
        <v>119</v>
      </c>
      <c r="D9" s="10" t="s">
        <v>120</v>
      </c>
      <c r="E9" s="15" t="s">
        <v>42</v>
      </c>
      <c r="F9" s="16" t="s">
        <v>43</v>
      </c>
      <c r="G9" s="21"/>
      <c r="H9" s="22"/>
      <c r="I9" s="22"/>
      <c r="J9" s="16" t="s">
        <v>121</v>
      </c>
      <c r="K9" s="20" t="s">
        <v>122</v>
      </c>
      <c r="L9" s="20" t="s">
        <v>123</v>
      </c>
      <c r="M9" s="20" t="s">
        <v>124</v>
      </c>
      <c r="N9" s="20" t="s">
        <v>125</v>
      </c>
      <c r="O9" s="20" t="s">
        <v>126</v>
      </c>
    </row>
    <row r="10" ht="75.0" customHeight="1">
      <c r="A10" s="10" t="s">
        <v>27</v>
      </c>
      <c r="B10" s="10" t="s">
        <v>29</v>
      </c>
      <c r="C10" s="11" t="s">
        <v>127</v>
      </c>
      <c r="D10" s="10" t="s">
        <v>128</v>
      </c>
      <c r="E10" s="15">
        <v>2.0</v>
      </c>
      <c r="F10" s="16" t="s">
        <v>129</v>
      </c>
      <c r="G10" s="18" t="s">
        <v>130</v>
      </c>
      <c r="H10" s="15" t="s">
        <v>132</v>
      </c>
      <c r="I10" s="15">
        <v>2025.0</v>
      </c>
      <c r="J10" s="16" t="s">
        <v>133</v>
      </c>
      <c r="K10" s="20" t="s">
        <v>134</v>
      </c>
      <c r="L10" s="20" t="s">
        <v>135</v>
      </c>
      <c r="M10" s="20" t="s">
        <v>136</v>
      </c>
      <c r="N10" s="20" t="s">
        <v>137</v>
      </c>
      <c r="O10" s="20" t="s">
        <v>139</v>
      </c>
    </row>
    <row r="11" ht="75.0" customHeight="1">
      <c r="A11" s="10" t="s">
        <v>27</v>
      </c>
      <c r="B11" s="10" t="s">
        <v>140</v>
      </c>
      <c r="C11" s="11" t="s">
        <v>141</v>
      </c>
      <c r="D11" s="10" t="s">
        <v>142</v>
      </c>
      <c r="E11" s="15">
        <v>4.0</v>
      </c>
      <c r="F11" s="16" t="s">
        <v>143</v>
      </c>
      <c r="G11" s="16" t="s">
        <v>89</v>
      </c>
      <c r="H11" s="15" t="s">
        <v>144</v>
      </c>
      <c r="I11" s="15">
        <v>2025.0</v>
      </c>
      <c r="J11" s="21"/>
      <c r="K11" s="20" t="s">
        <v>145</v>
      </c>
      <c r="L11" s="20" t="s">
        <v>146</v>
      </c>
      <c r="M11" s="20" t="s">
        <v>147</v>
      </c>
      <c r="N11" s="20" t="s">
        <v>148</v>
      </c>
      <c r="O11" s="20" t="s">
        <v>149</v>
      </c>
    </row>
    <row r="12" ht="75.0" customHeight="1">
      <c r="A12" s="10" t="s">
        <v>27</v>
      </c>
      <c r="B12" s="10" t="s">
        <v>140</v>
      </c>
      <c r="C12" s="11" t="s">
        <v>150</v>
      </c>
      <c r="D12" s="10" t="s">
        <v>151</v>
      </c>
      <c r="E12" s="15">
        <v>3.0</v>
      </c>
      <c r="F12" s="16" t="s">
        <v>152</v>
      </c>
      <c r="G12" s="16" t="s">
        <v>78</v>
      </c>
      <c r="H12" s="15" t="s">
        <v>153</v>
      </c>
      <c r="I12" s="15">
        <v>2025.0</v>
      </c>
      <c r="J12" s="21"/>
      <c r="K12" s="20" t="s">
        <v>154</v>
      </c>
      <c r="L12" s="20" t="s">
        <v>155</v>
      </c>
      <c r="M12" s="20" t="s">
        <v>156</v>
      </c>
      <c r="N12" s="20" t="s">
        <v>157</v>
      </c>
      <c r="O12" s="20" t="s">
        <v>158</v>
      </c>
    </row>
    <row r="13" ht="75.0" customHeight="1">
      <c r="A13" s="10" t="s">
        <v>27</v>
      </c>
      <c r="B13" s="10" t="s">
        <v>140</v>
      </c>
      <c r="C13" s="11" t="s">
        <v>159</v>
      </c>
      <c r="D13" s="10" t="s">
        <v>160</v>
      </c>
      <c r="E13" s="15">
        <v>3.0</v>
      </c>
      <c r="F13" s="16" t="s">
        <v>161</v>
      </c>
      <c r="G13" s="16" t="s">
        <v>78</v>
      </c>
      <c r="H13" s="15">
        <v>26.0</v>
      </c>
      <c r="I13" s="15">
        <v>2025.0</v>
      </c>
      <c r="J13" s="16" t="s">
        <v>162</v>
      </c>
      <c r="K13" s="20" t="s">
        <v>163</v>
      </c>
      <c r="L13" s="20" t="s">
        <v>164</v>
      </c>
      <c r="M13" s="20" t="s">
        <v>165</v>
      </c>
      <c r="N13" s="20" t="s">
        <v>166</v>
      </c>
      <c r="O13" s="20" t="s">
        <v>167</v>
      </c>
    </row>
    <row r="14" ht="75.0" customHeight="1">
      <c r="A14" s="10" t="s">
        <v>27</v>
      </c>
      <c r="B14" s="10" t="s">
        <v>140</v>
      </c>
      <c r="C14" s="11" t="s">
        <v>168</v>
      </c>
      <c r="D14" s="10" t="s">
        <v>169</v>
      </c>
      <c r="E14" s="15">
        <v>3.0</v>
      </c>
      <c r="F14" s="16" t="s">
        <v>170</v>
      </c>
      <c r="G14" s="16" t="s">
        <v>171</v>
      </c>
      <c r="H14" s="15" t="s">
        <v>172</v>
      </c>
      <c r="I14" s="15">
        <v>2025.0</v>
      </c>
      <c r="J14" s="21"/>
      <c r="K14" s="20" t="s">
        <v>174</v>
      </c>
      <c r="L14" s="20" t="s">
        <v>175</v>
      </c>
      <c r="M14" s="20" t="s">
        <v>176</v>
      </c>
      <c r="N14" s="20" t="s">
        <v>177</v>
      </c>
      <c r="O14" s="20" t="s">
        <v>178</v>
      </c>
    </row>
    <row r="15" ht="75.0" customHeight="1">
      <c r="A15" s="10" t="s">
        <v>27</v>
      </c>
      <c r="B15" s="10" t="s">
        <v>140</v>
      </c>
      <c r="C15" s="11" t="s">
        <v>179</v>
      </c>
      <c r="D15" s="10" t="s">
        <v>180</v>
      </c>
      <c r="E15" s="15">
        <v>3.0</v>
      </c>
      <c r="F15" s="16" t="s">
        <v>181</v>
      </c>
      <c r="G15" s="18" t="s">
        <v>182</v>
      </c>
      <c r="H15" s="15">
        <v>28.0</v>
      </c>
      <c r="I15" s="15">
        <v>2025.0</v>
      </c>
      <c r="J15" s="21"/>
      <c r="K15" s="20" t="s">
        <v>183</v>
      </c>
      <c r="L15" s="20" t="s">
        <v>184</v>
      </c>
      <c r="M15" s="20" t="s">
        <v>185</v>
      </c>
      <c r="N15" s="20" t="s">
        <v>186</v>
      </c>
      <c r="O15" s="20" t="s">
        <v>187</v>
      </c>
    </row>
    <row r="16" ht="75.0" customHeight="1">
      <c r="A16" s="10" t="s">
        <v>27</v>
      </c>
      <c r="B16" s="10" t="s">
        <v>140</v>
      </c>
      <c r="C16" s="11" t="s">
        <v>188</v>
      </c>
      <c r="D16" s="10" t="s">
        <v>189</v>
      </c>
      <c r="E16" s="15">
        <v>2.0</v>
      </c>
      <c r="F16" s="16" t="s">
        <v>190</v>
      </c>
      <c r="G16" s="16" t="s">
        <v>192</v>
      </c>
      <c r="H16" s="15" t="s">
        <v>193</v>
      </c>
      <c r="I16" s="15">
        <v>2025.0</v>
      </c>
      <c r="J16" s="16" t="s">
        <v>194</v>
      </c>
      <c r="K16" s="20" t="s">
        <v>195</v>
      </c>
      <c r="L16" s="20" t="s">
        <v>196</v>
      </c>
      <c r="M16" s="20" t="s">
        <v>197</v>
      </c>
      <c r="N16" s="20" t="s">
        <v>198</v>
      </c>
      <c r="O16" s="20" t="s">
        <v>199</v>
      </c>
    </row>
    <row r="17" ht="75.0" customHeight="1">
      <c r="A17" s="10" t="s">
        <v>27</v>
      </c>
      <c r="B17" s="10" t="s">
        <v>140</v>
      </c>
      <c r="C17" s="11" t="s">
        <v>200</v>
      </c>
      <c r="D17" s="10" t="s">
        <v>201</v>
      </c>
      <c r="E17" s="15">
        <v>3.0</v>
      </c>
      <c r="F17" s="16" t="s">
        <v>202</v>
      </c>
      <c r="G17" s="16" t="s">
        <v>78</v>
      </c>
      <c r="H17" s="15" t="s">
        <v>203</v>
      </c>
      <c r="I17" s="15">
        <v>2025.0</v>
      </c>
      <c r="J17" s="21"/>
      <c r="K17" s="20" t="s">
        <v>204</v>
      </c>
      <c r="L17" s="20" t="s">
        <v>205</v>
      </c>
      <c r="M17" s="20" t="s">
        <v>206</v>
      </c>
      <c r="N17" s="20" t="s">
        <v>207</v>
      </c>
      <c r="O17" s="20" t="s">
        <v>208</v>
      </c>
    </row>
    <row r="18" ht="75.0" customHeight="1">
      <c r="A18" s="10" t="s">
        <v>27</v>
      </c>
      <c r="B18" s="10" t="s">
        <v>140</v>
      </c>
      <c r="C18" s="11" t="s">
        <v>209</v>
      </c>
      <c r="D18" s="10" t="s">
        <v>210</v>
      </c>
      <c r="E18" s="15">
        <v>2.0</v>
      </c>
      <c r="F18" s="16" t="s">
        <v>211</v>
      </c>
      <c r="G18" s="16" t="s">
        <v>78</v>
      </c>
      <c r="H18" s="15" t="s">
        <v>212</v>
      </c>
      <c r="I18" s="15">
        <v>2025.0</v>
      </c>
      <c r="J18" s="16" t="s">
        <v>213</v>
      </c>
      <c r="K18" s="20" t="s">
        <v>214</v>
      </c>
      <c r="L18" s="20" t="s">
        <v>215</v>
      </c>
      <c r="M18" s="20" t="s">
        <v>216</v>
      </c>
      <c r="N18" s="20" t="s">
        <v>217</v>
      </c>
      <c r="O18" s="20" t="s">
        <v>218</v>
      </c>
    </row>
    <row r="19" ht="75.0" customHeight="1">
      <c r="A19" s="10" t="s">
        <v>27</v>
      </c>
      <c r="B19" s="10" t="s">
        <v>219</v>
      </c>
      <c r="C19" s="11" t="s">
        <v>220</v>
      </c>
      <c r="D19" s="10" t="s">
        <v>221</v>
      </c>
      <c r="E19" s="15" t="s">
        <v>42</v>
      </c>
      <c r="F19" s="16" t="s">
        <v>43</v>
      </c>
      <c r="G19" s="21"/>
      <c r="H19" s="22"/>
      <c r="I19" s="22"/>
      <c r="J19" s="16" t="s">
        <v>222</v>
      </c>
      <c r="K19" s="20" t="s">
        <v>223</v>
      </c>
      <c r="L19" s="20" t="s">
        <v>224</v>
      </c>
      <c r="M19" s="20" t="s">
        <v>225</v>
      </c>
      <c r="N19" s="20" t="s">
        <v>226</v>
      </c>
      <c r="O19" s="20" t="s">
        <v>227</v>
      </c>
    </row>
    <row r="20" ht="75.0" customHeight="1">
      <c r="A20" s="10" t="s">
        <v>27</v>
      </c>
      <c r="B20" s="10" t="s">
        <v>219</v>
      </c>
      <c r="C20" s="11" t="s">
        <v>228</v>
      </c>
      <c r="D20" s="10" t="s">
        <v>229</v>
      </c>
      <c r="E20" s="15" t="s">
        <v>42</v>
      </c>
      <c r="F20" s="16" t="s">
        <v>43</v>
      </c>
      <c r="G20" s="21"/>
      <c r="H20" s="22"/>
      <c r="I20" s="22"/>
      <c r="J20" s="16" t="s">
        <v>230</v>
      </c>
      <c r="K20" s="20" t="s">
        <v>232</v>
      </c>
      <c r="L20" s="20" t="s">
        <v>233</v>
      </c>
      <c r="M20" s="20" t="s">
        <v>234</v>
      </c>
      <c r="N20" s="20" t="s">
        <v>235</v>
      </c>
      <c r="O20" s="20" t="s">
        <v>236</v>
      </c>
    </row>
    <row r="21" ht="75.0" customHeight="1">
      <c r="A21" s="10" t="s">
        <v>27</v>
      </c>
      <c r="B21" s="10" t="s">
        <v>219</v>
      </c>
      <c r="C21" s="11" t="s">
        <v>237</v>
      </c>
      <c r="D21" s="10" t="s">
        <v>238</v>
      </c>
      <c r="E21" s="15">
        <v>4.0</v>
      </c>
      <c r="F21" s="16" t="s">
        <v>239</v>
      </c>
      <c r="G21" s="16" t="s">
        <v>78</v>
      </c>
      <c r="H21" s="15" t="s">
        <v>203</v>
      </c>
      <c r="I21" s="15">
        <v>2025.0</v>
      </c>
      <c r="J21" s="21"/>
      <c r="K21" s="20" t="s">
        <v>240</v>
      </c>
      <c r="L21" s="20" t="s">
        <v>241</v>
      </c>
      <c r="M21" s="20" t="s">
        <v>242</v>
      </c>
      <c r="N21" s="20" t="s">
        <v>243</v>
      </c>
      <c r="O21" s="20" t="s">
        <v>244</v>
      </c>
    </row>
    <row r="22" ht="75.0" customHeight="1">
      <c r="A22" s="10" t="s">
        <v>27</v>
      </c>
      <c r="B22" s="10" t="s">
        <v>245</v>
      </c>
      <c r="C22" s="11" t="s">
        <v>246</v>
      </c>
      <c r="D22" s="10" t="s">
        <v>247</v>
      </c>
      <c r="E22" s="15">
        <v>3.0</v>
      </c>
      <c r="F22" s="16" t="s">
        <v>248</v>
      </c>
      <c r="G22" s="16" t="s">
        <v>78</v>
      </c>
      <c r="H22" s="15" t="s">
        <v>249</v>
      </c>
      <c r="I22" s="15">
        <v>2025.0</v>
      </c>
      <c r="J22" s="16" t="s">
        <v>250</v>
      </c>
      <c r="K22" s="20" t="s">
        <v>251</v>
      </c>
      <c r="L22" s="20" t="s">
        <v>252</v>
      </c>
      <c r="M22" s="20" t="s">
        <v>254</v>
      </c>
      <c r="N22" s="20" t="s">
        <v>255</v>
      </c>
      <c r="O22" s="20" t="s">
        <v>256</v>
      </c>
    </row>
    <row r="23" ht="75.0" customHeight="1">
      <c r="A23" s="10" t="s">
        <v>27</v>
      </c>
      <c r="B23" s="10" t="s">
        <v>245</v>
      </c>
      <c r="C23" s="11" t="s">
        <v>257</v>
      </c>
      <c r="D23" s="10" t="s">
        <v>258</v>
      </c>
      <c r="E23" s="15">
        <v>4.0</v>
      </c>
      <c r="F23" s="16" t="s">
        <v>259</v>
      </c>
      <c r="G23" s="16" t="s">
        <v>260</v>
      </c>
      <c r="H23" s="15" t="s">
        <v>261</v>
      </c>
      <c r="I23" s="15">
        <v>2025.0</v>
      </c>
      <c r="J23" s="21"/>
      <c r="K23" s="20" t="s">
        <v>262</v>
      </c>
      <c r="L23" s="20" t="s">
        <v>263</v>
      </c>
      <c r="M23" s="20" t="s">
        <v>264</v>
      </c>
      <c r="N23" s="20" t="s">
        <v>265</v>
      </c>
      <c r="O23" s="20" t="s">
        <v>266</v>
      </c>
    </row>
    <row r="24" ht="75.0" customHeight="1">
      <c r="A24" s="10" t="s">
        <v>27</v>
      </c>
      <c r="B24" s="10" t="s">
        <v>245</v>
      </c>
      <c r="C24" s="11" t="s">
        <v>267</v>
      </c>
      <c r="D24" s="10" t="s">
        <v>268</v>
      </c>
      <c r="E24" s="15">
        <v>3.0</v>
      </c>
      <c r="F24" s="16" t="s">
        <v>269</v>
      </c>
      <c r="G24" s="16" t="s">
        <v>78</v>
      </c>
      <c r="H24" s="15" t="s">
        <v>271</v>
      </c>
      <c r="I24" s="15">
        <v>2025.0</v>
      </c>
      <c r="J24" s="21"/>
      <c r="K24" s="20" t="s">
        <v>272</v>
      </c>
      <c r="L24" s="20" t="s">
        <v>273</v>
      </c>
      <c r="M24" s="20" t="s">
        <v>274</v>
      </c>
      <c r="N24" s="20" t="s">
        <v>275</v>
      </c>
      <c r="O24" s="20" t="s">
        <v>276</v>
      </c>
    </row>
    <row r="25" ht="75.0" customHeight="1">
      <c r="A25" s="10" t="s">
        <v>27</v>
      </c>
      <c r="B25" s="10" t="s">
        <v>245</v>
      </c>
      <c r="C25" s="11" t="s">
        <v>277</v>
      </c>
      <c r="D25" s="10" t="s">
        <v>278</v>
      </c>
      <c r="E25" s="15" t="s">
        <v>42</v>
      </c>
      <c r="F25" s="16" t="s">
        <v>43</v>
      </c>
      <c r="G25" s="21"/>
      <c r="H25" s="22"/>
      <c r="I25" s="22"/>
      <c r="J25" s="16" t="s">
        <v>279</v>
      </c>
      <c r="K25" s="20" t="s">
        <v>280</v>
      </c>
      <c r="L25" s="20" t="s">
        <v>281</v>
      </c>
      <c r="M25" s="20" t="s">
        <v>282</v>
      </c>
      <c r="N25" s="20" t="s">
        <v>283</v>
      </c>
      <c r="O25" s="20" t="s">
        <v>284</v>
      </c>
    </row>
    <row r="26" ht="75.0" customHeight="1">
      <c r="A26" s="10" t="s">
        <v>27</v>
      </c>
      <c r="B26" s="10" t="s">
        <v>245</v>
      </c>
      <c r="C26" s="11" t="s">
        <v>285</v>
      </c>
      <c r="D26" s="10" t="s">
        <v>286</v>
      </c>
      <c r="E26" s="15">
        <v>3.0</v>
      </c>
      <c r="F26" s="16" t="s">
        <v>287</v>
      </c>
      <c r="G26" s="16" t="s">
        <v>288</v>
      </c>
      <c r="H26" s="15" t="s">
        <v>289</v>
      </c>
      <c r="I26" s="15">
        <v>2025.0</v>
      </c>
      <c r="J26" s="21"/>
      <c r="K26" s="20" t="s">
        <v>290</v>
      </c>
      <c r="L26" s="20" t="s">
        <v>291</v>
      </c>
      <c r="M26" s="20" t="s">
        <v>292</v>
      </c>
      <c r="N26" s="20" t="s">
        <v>293</v>
      </c>
      <c r="O26" s="20" t="s">
        <v>294</v>
      </c>
    </row>
    <row r="27" ht="75.0" customHeight="1">
      <c r="A27" s="27" t="s">
        <v>68</v>
      </c>
      <c r="B27" s="27" t="s">
        <v>295</v>
      </c>
      <c r="C27" s="28" t="s">
        <v>296</v>
      </c>
      <c r="D27" s="27" t="s">
        <v>297</v>
      </c>
      <c r="E27" s="15">
        <v>2.0</v>
      </c>
      <c r="F27" s="16" t="s">
        <v>298</v>
      </c>
      <c r="G27" s="16" t="s">
        <v>171</v>
      </c>
      <c r="H27" s="15" t="s">
        <v>299</v>
      </c>
      <c r="I27" s="15">
        <v>2025.0</v>
      </c>
      <c r="J27" s="21"/>
      <c r="K27" s="20" t="s">
        <v>300</v>
      </c>
      <c r="L27" s="20" t="s">
        <v>301</v>
      </c>
      <c r="M27" s="20" t="s">
        <v>302</v>
      </c>
      <c r="N27" s="20" t="s">
        <v>303</v>
      </c>
      <c r="O27" s="20" t="s">
        <v>304</v>
      </c>
    </row>
    <row r="28" ht="75.0" customHeight="1">
      <c r="A28" s="27" t="s">
        <v>68</v>
      </c>
      <c r="B28" s="27" t="s">
        <v>295</v>
      </c>
      <c r="C28" s="28" t="s">
        <v>305</v>
      </c>
      <c r="D28" s="27" t="s">
        <v>306</v>
      </c>
      <c r="E28" s="15" t="s">
        <v>42</v>
      </c>
      <c r="F28" s="16" t="s">
        <v>43</v>
      </c>
      <c r="G28" s="21"/>
      <c r="H28" s="22"/>
      <c r="I28" s="22"/>
      <c r="J28" s="16" t="s">
        <v>307</v>
      </c>
      <c r="K28" s="20" t="s">
        <v>308</v>
      </c>
      <c r="L28" s="20" t="s">
        <v>309</v>
      </c>
      <c r="M28" s="20" t="s">
        <v>310</v>
      </c>
      <c r="N28" s="20" t="s">
        <v>311</v>
      </c>
      <c r="O28" s="20" t="s">
        <v>312</v>
      </c>
    </row>
    <row r="29" ht="75.0" customHeight="1">
      <c r="A29" s="27" t="s">
        <v>68</v>
      </c>
      <c r="B29" s="27" t="s">
        <v>295</v>
      </c>
      <c r="C29" s="28" t="s">
        <v>313</v>
      </c>
      <c r="D29" s="27" t="s">
        <v>314</v>
      </c>
      <c r="E29" s="15">
        <v>2.0</v>
      </c>
      <c r="F29" s="16" t="s">
        <v>315</v>
      </c>
      <c r="G29" s="16" t="s">
        <v>78</v>
      </c>
      <c r="H29" s="15" t="s">
        <v>249</v>
      </c>
      <c r="I29" s="15">
        <v>2025.0</v>
      </c>
      <c r="J29" s="16" t="s">
        <v>316</v>
      </c>
      <c r="K29" s="20" t="s">
        <v>317</v>
      </c>
      <c r="L29" s="20" t="s">
        <v>318</v>
      </c>
      <c r="M29" s="20" t="s">
        <v>319</v>
      </c>
      <c r="N29" s="20" t="s">
        <v>320</v>
      </c>
      <c r="O29" s="20" t="s">
        <v>321</v>
      </c>
    </row>
    <row r="30" ht="75.0" customHeight="1">
      <c r="A30" s="27" t="s">
        <v>68</v>
      </c>
      <c r="B30" s="27" t="s">
        <v>295</v>
      </c>
      <c r="C30" s="28" t="s">
        <v>322</v>
      </c>
      <c r="D30" s="27" t="s">
        <v>323</v>
      </c>
      <c r="E30" s="15">
        <v>2.0</v>
      </c>
      <c r="F30" s="16" t="s">
        <v>324</v>
      </c>
      <c r="G30" s="16" t="s">
        <v>325</v>
      </c>
      <c r="H30" s="15" t="s">
        <v>326</v>
      </c>
      <c r="I30" s="15">
        <v>2025.0</v>
      </c>
      <c r="J30" s="16" t="s">
        <v>327</v>
      </c>
      <c r="K30" s="20" t="s">
        <v>328</v>
      </c>
      <c r="L30" s="20" t="s">
        <v>329</v>
      </c>
      <c r="M30" s="20" t="s">
        <v>330</v>
      </c>
      <c r="N30" s="20" t="s">
        <v>331</v>
      </c>
      <c r="O30" s="20" t="s">
        <v>332</v>
      </c>
    </row>
    <row r="31" ht="75.0" customHeight="1">
      <c r="A31" s="27" t="s">
        <v>68</v>
      </c>
      <c r="B31" s="27" t="s">
        <v>333</v>
      </c>
      <c r="C31" s="28" t="s">
        <v>334</v>
      </c>
      <c r="D31" s="27" t="s">
        <v>335</v>
      </c>
      <c r="E31" s="15">
        <v>4.0</v>
      </c>
      <c r="F31" s="16" t="s">
        <v>336</v>
      </c>
      <c r="G31" s="16" t="s">
        <v>337</v>
      </c>
      <c r="H31" s="15" t="s">
        <v>338</v>
      </c>
      <c r="I31" s="15">
        <v>2025.0</v>
      </c>
      <c r="J31" s="21"/>
      <c r="K31" s="20" t="s">
        <v>339</v>
      </c>
      <c r="L31" s="20" t="s">
        <v>340</v>
      </c>
      <c r="M31" s="20" t="s">
        <v>341</v>
      </c>
      <c r="N31" s="20" t="s">
        <v>342</v>
      </c>
      <c r="O31" s="20" t="s">
        <v>343</v>
      </c>
    </row>
    <row r="32" ht="75.0" customHeight="1">
      <c r="A32" s="27" t="s">
        <v>68</v>
      </c>
      <c r="B32" s="27" t="s">
        <v>333</v>
      </c>
      <c r="C32" s="28" t="s">
        <v>344</v>
      </c>
      <c r="D32" s="27" t="s">
        <v>345</v>
      </c>
      <c r="E32" s="15">
        <v>3.0</v>
      </c>
      <c r="F32" s="16" t="s">
        <v>346</v>
      </c>
      <c r="G32" s="16" t="s">
        <v>347</v>
      </c>
      <c r="H32" s="15" t="s">
        <v>348</v>
      </c>
      <c r="I32" s="15">
        <v>2025.0</v>
      </c>
      <c r="J32" s="21"/>
      <c r="K32" s="20" t="s">
        <v>349</v>
      </c>
      <c r="L32" s="20" t="s">
        <v>350</v>
      </c>
      <c r="M32" s="20" t="s">
        <v>351</v>
      </c>
      <c r="N32" s="20" t="s">
        <v>352</v>
      </c>
      <c r="O32" s="20" t="s">
        <v>353</v>
      </c>
    </row>
    <row r="33" ht="75.0" customHeight="1">
      <c r="A33" s="27" t="s">
        <v>68</v>
      </c>
      <c r="B33" s="27" t="s">
        <v>333</v>
      </c>
      <c r="C33" s="28" t="s">
        <v>354</v>
      </c>
      <c r="D33" s="27" t="s">
        <v>355</v>
      </c>
      <c r="E33" s="15">
        <v>4.0</v>
      </c>
      <c r="F33" s="16" t="s">
        <v>356</v>
      </c>
      <c r="G33" s="16" t="s">
        <v>357</v>
      </c>
      <c r="H33" s="15" t="s">
        <v>358</v>
      </c>
      <c r="I33" s="15">
        <v>2025.0</v>
      </c>
      <c r="J33" s="21"/>
      <c r="K33" s="20" t="s">
        <v>359</v>
      </c>
      <c r="L33" s="20" t="s">
        <v>360</v>
      </c>
      <c r="M33" s="20" t="s">
        <v>361</v>
      </c>
      <c r="N33" s="20" t="s">
        <v>362</v>
      </c>
      <c r="O33" s="20" t="s">
        <v>363</v>
      </c>
    </row>
    <row r="34" ht="75.0" customHeight="1">
      <c r="A34" s="27" t="s">
        <v>68</v>
      </c>
      <c r="B34" s="27" t="s">
        <v>364</v>
      </c>
      <c r="C34" s="28" t="s">
        <v>365</v>
      </c>
      <c r="D34" s="27" t="s">
        <v>366</v>
      </c>
      <c r="E34" s="15">
        <v>4.0</v>
      </c>
      <c r="F34" s="16" t="s">
        <v>367</v>
      </c>
      <c r="G34" s="16" t="s">
        <v>78</v>
      </c>
      <c r="H34" s="15" t="s">
        <v>368</v>
      </c>
      <c r="I34" s="15">
        <v>2025.0</v>
      </c>
      <c r="J34" s="21"/>
      <c r="K34" s="20" t="s">
        <v>369</v>
      </c>
      <c r="L34" s="20" t="s">
        <v>370</v>
      </c>
      <c r="M34" s="20" t="s">
        <v>371</v>
      </c>
      <c r="N34" s="20" t="s">
        <v>372</v>
      </c>
      <c r="O34" s="20" t="s">
        <v>373</v>
      </c>
    </row>
    <row r="35" ht="75.0" customHeight="1">
      <c r="A35" s="27" t="s">
        <v>68</v>
      </c>
      <c r="B35" s="27" t="s">
        <v>364</v>
      </c>
      <c r="C35" s="28" t="s">
        <v>374</v>
      </c>
      <c r="D35" s="27" t="s">
        <v>375</v>
      </c>
      <c r="E35" s="15">
        <v>3.0</v>
      </c>
      <c r="F35" s="16" t="s">
        <v>376</v>
      </c>
      <c r="G35" s="16" t="s">
        <v>171</v>
      </c>
      <c r="H35" s="15" t="s">
        <v>377</v>
      </c>
      <c r="I35" s="15">
        <v>2025.0</v>
      </c>
      <c r="J35" s="21"/>
      <c r="K35" s="20" t="s">
        <v>378</v>
      </c>
      <c r="L35" s="20" t="s">
        <v>379</v>
      </c>
      <c r="M35" s="20" t="s">
        <v>380</v>
      </c>
      <c r="N35" s="20" t="s">
        <v>381</v>
      </c>
      <c r="O35" s="20" t="s">
        <v>382</v>
      </c>
    </row>
    <row r="36" ht="75.0" customHeight="1">
      <c r="A36" s="27" t="s">
        <v>68</v>
      </c>
      <c r="B36" s="27" t="s">
        <v>364</v>
      </c>
      <c r="C36" s="28" t="s">
        <v>383</v>
      </c>
      <c r="D36" s="27" t="s">
        <v>384</v>
      </c>
      <c r="E36" s="15" t="s">
        <v>42</v>
      </c>
      <c r="F36" s="16" t="s">
        <v>43</v>
      </c>
      <c r="G36" s="21"/>
      <c r="H36" s="22"/>
      <c r="I36" s="22"/>
      <c r="J36" s="16" t="s">
        <v>385</v>
      </c>
      <c r="K36" s="20" t="s">
        <v>386</v>
      </c>
      <c r="L36" s="20" t="s">
        <v>387</v>
      </c>
      <c r="M36" s="20" t="s">
        <v>388</v>
      </c>
      <c r="N36" s="20" t="s">
        <v>389</v>
      </c>
      <c r="O36" s="20" t="s">
        <v>390</v>
      </c>
    </row>
    <row r="37" ht="75.0" customHeight="1">
      <c r="A37" s="27" t="s">
        <v>68</v>
      </c>
      <c r="B37" s="27" t="s">
        <v>391</v>
      </c>
      <c r="C37" s="28" t="s">
        <v>392</v>
      </c>
      <c r="D37" s="27" t="s">
        <v>393</v>
      </c>
      <c r="E37" s="15">
        <v>3.0</v>
      </c>
      <c r="F37" s="16" t="s">
        <v>394</v>
      </c>
      <c r="G37" s="16" t="s">
        <v>325</v>
      </c>
      <c r="H37" s="15" t="s">
        <v>395</v>
      </c>
      <c r="I37" s="15">
        <v>2025.0</v>
      </c>
      <c r="J37" s="21"/>
      <c r="K37" s="20" t="s">
        <v>396</v>
      </c>
      <c r="L37" s="20" t="s">
        <v>397</v>
      </c>
      <c r="M37" s="20" t="s">
        <v>398</v>
      </c>
      <c r="N37" s="20" t="s">
        <v>399</v>
      </c>
      <c r="O37" s="20" t="s">
        <v>400</v>
      </c>
    </row>
    <row r="38" ht="75.0" customHeight="1">
      <c r="A38" s="27" t="s">
        <v>68</v>
      </c>
      <c r="B38" s="27" t="s">
        <v>391</v>
      </c>
      <c r="C38" s="28" t="s">
        <v>401</v>
      </c>
      <c r="D38" s="27" t="s">
        <v>402</v>
      </c>
      <c r="E38" s="15">
        <v>3.0</v>
      </c>
      <c r="F38" s="16" t="s">
        <v>403</v>
      </c>
      <c r="G38" s="16" t="s">
        <v>78</v>
      </c>
      <c r="H38" s="15" t="s">
        <v>203</v>
      </c>
      <c r="I38" s="15">
        <v>2025.0</v>
      </c>
      <c r="J38" s="21"/>
      <c r="K38" s="20" t="s">
        <v>404</v>
      </c>
      <c r="L38" s="20" t="s">
        <v>405</v>
      </c>
      <c r="M38" s="20" t="s">
        <v>406</v>
      </c>
      <c r="N38" s="20" t="s">
        <v>407</v>
      </c>
      <c r="O38" s="20" t="s">
        <v>408</v>
      </c>
    </row>
    <row r="39" ht="75.0" customHeight="1">
      <c r="A39" s="27" t="s">
        <v>68</v>
      </c>
      <c r="B39" s="27" t="s">
        <v>391</v>
      </c>
      <c r="C39" s="28" t="s">
        <v>409</v>
      </c>
      <c r="D39" s="27" t="s">
        <v>410</v>
      </c>
      <c r="E39" s="15" t="s">
        <v>42</v>
      </c>
      <c r="F39" s="16" t="s">
        <v>43</v>
      </c>
      <c r="G39" s="21"/>
      <c r="H39" s="22"/>
      <c r="I39" s="22"/>
      <c r="J39" s="16" t="s">
        <v>411</v>
      </c>
      <c r="K39" s="20" t="s">
        <v>412</v>
      </c>
      <c r="L39" s="20" t="s">
        <v>413</v>
      </c>
      <c r="M39" s="20" t="s">
        <v>414</v>
      </c>
      <c r="N39" s="20" t="s">
        <v>415</v>
      </c>
      <c r="O39" s="20" t="s">
        <v>416</v>
      </c>
    </row>
    <row r="40" ht="75.0" customHeight="1">
      <c r="A40" s="27" t="s">
        <v>68</v>
      </c>
      <c r="B40" s="27" t="s">
        <v>417</v>
      </c>
      <c r="C40" s="28" t="s">
        <v>418</v>
      </c>
      <c r="D40" s="27" t="s">
        <v>419</v>
      </c>
      <c r="E40" s="15">
        <v>3.0</v>
      </c>
      <c r="F40" s="16" t="s">
        <v>420</v>
      </c>
      <c r="G40" s="16" t="s">
        <v>325</v>
      </c>
      <c r="H40" s="15" t="s">
        <v>421</v>
      </c>
      <c r="I40" s="15">
        <v>2025.0</v>
      </c>
      <c r="J40" s="21"/>
      <c r="K40" s="20" t="s">
        <v>422</v>
      </c>
      <c r="L40" s="20" t="s">
        <v>423</v>
      </c>
      <c r="M40" s="20" t="s">
        <v>424</v>
      </c>
      <c r="N40" s="20" t="s">
        <v>425</v>
      </c>
      <c r="O40" s="20" t="s">
        <v>426</v>
      </c>
    </row>
    <row r="41" ht="75.0" customHeight="1">
      <c r="A41" s="27" t="s">
        <v>68</v>
      </c>
      <c r="B41" s="27" t="s">
        <v>417</v>
      </c>
      <c r="C41" s="28" t="s">
        <v>427</v>
      </c>
      <c r="D41" s="27" t="s">
        <v>428</v>
      </c>
      <c r="E41" s="15">
        <v>3.0</v>
      </c>
      <c r="F41" s="16" t="s">
        <v>429</v>
      </c>
      <c r="G41" s="16" t="s">
        <v>430</v>
      </c>
      <c r="H41" s="15" t="s">
        <v>431</v>
      </c>
      <c r="I41" s="15">
        <v>2025.0</v>
      </c>
      <c r="J41" s="21"/>
      <c r="K41" s="20" t="s">
        <v>432</v>
      </c>
      <c r="L41" s="20" t="s">
        <v>433</v>
      </c>
      <c r="M41" s="20" t="s">
        <v>434</v>
      </c>
      <c r="N41" s="20" t="s">
        <v>435</v>
      </c>
      <c r="O41" s="20" t="s">
        <v>436</v>
      </c>
    </row>
    <row r="42" ht="75.0" customHeight="1">
      <c r="A42" s="27" t="s">
        <v>68</v>
      </c>
      <c r="B42" s="27" t="s">
        <v>417</v>
      </c>
      <c r="C42" s="28" t="s">
        <v>437</v>
      </c>
      <c r="D42" s="27" t="s">
        <v>438</v>
      </c>
      <c r="E42" s="15">
        <v>4.0</v>
      </c>
      <c r="F42" s="16" t="s">
        <v>439</v>
      </c>
      <c r="G42" s="16" t="s">
        <v>288</v>
      </c>
      <c r="H42" s="15" t="s">
        <v>440</v>
      </c>
      <c r="I42" s="15">
        <v>2025.0</v>
      </c>
      <c r="J42" s="21"/>
      <c r="K42" s="20" t="s">
        <v>441</v>
      </c>
      <c r="L42" s="20" t="s">
        <v>442</v>
      </c>
      <c r="M42" s="20" t="s">
        <v>443</v>
      </c>
      <c r="N42" s="20" t="s">
        <v>444</v>
      </c>
      <c r="O42" s="20" t="s">
        <v>445</v>
      </c>
    </row>
    <row r="43" ht="75.0" customHeight="1">
      <c r="A43" s="27" t="s">
        <v>68</v>
      </c>
      <c r="B43" s="27" t="s">
        <v>446</v>
      </c>
      <c r="C43" s="28" t="s">
        <v>447</v>
      </c>
      <c r="D43" s="27" t="s">
        <v>448</v>
      </c>
      <c r="E43" s="15">
        <v>4.0</v>
      </c>
      <c r="F43" s="16" t="s">
        <v>449</v>
      </c>
      <c r="G43" s="16" t="s">
        <v>171</v>
      </c>
      <c r="H43" s="15" t="s">
        <v>450</v>
      </c>
      <c r="I43" s="15">
        <v>2025.0</v>
      </c>
      <c r="J43" s="21"/>
      <c r="K43" s="20" t="s">
        <v>451</v>
      </c>
      <c r="L43" s="20" t="s">
        <v>452</v>
      </c>
      <c r="M43" s="20" t="s">
        <v>453</v>
      </c>
      <c r="N43" s="20" t="s">
        <v>454</v>
      </c>
      <c r="O43" s="20" t="s">
        <v>455</v>
      </c>
    </row>
    <row r="44" ht="75.0" customHeight="1">
      <c r="A44" s="27" t="s">
        <v>68</v>
      </c>
      <c r="B44" s="27" t="s">
        <v>446</v>
      </c>
      <c r="C44" s="28" t="s">
        <v>456</v>
      </c>
      <c r="D44" s="27" t="s">
        <v>457</v>
      </c>
      <c r="E44" s="15">
        <v>3.0</v>
      </c>
      <c r="F44" s="16" t="s">
        <v>458</v>
      </c>
      <c r="G44" s="16" t="s">
        <v>459</v>
      </c>
      <c r="H44" s="15" t="s">
        <v>460</v>
      </c>
      <c r="I44" s="15">
        <v>2025.0</v>
      </c>
      <c r="J44" s="16" t="s">
        <v>461</v>
      </c>
      <c r="K44" s="20" t="s">
        <v>462</v>
      </c>
      <c r="L44" s="20" t="s">
        <v>463</v>
      </c>
      <c r="M44" s="20" t="s">
        <v>464</v>
      </c>
      <c r="N44" s="20" t="s">
        <v>465</v>
      </c>
      <c r="O44" s="20" t="s">
        <v>466</v>
      </c>
    </row>
    <row r="45" ht="75.0" customHeight="1">
      <c r="A45" s="27" t="s">
        <v>68</v>
      </c>
      <c r="B45" s="27" t="s">
        <v>446</v>
      </c>
      <c r="C45" s="28" t="s">
        <v>467</v>
      </c>
      <c r="D45" s="27" t="s">
        <v>468</v>
      </c>
      <c r="E45" s="15">
        <v>4.0</v>
      </c>
      <c r="F45" s="16" t="s">
        <v>469</v>
      </c>
      <c r="G45" s="16" t="s">
        <v>325</v>
      </c>
      <c r="H45" s="15" t="s">
        <v>212</v>
      </c>
      <c r="I45" s="15">
        <v>2025.0</v>
      </c>
      <c r="J45" s="21"/>
      <c r="K45" s="20" t="s">
        <v>470</v>
      </c>
      <c r="L45" s="20" t="s">
        <v>471</v>
      </c>
      <c r="M45" s="20" t="s">
        <v>472</v>
      </c>
      <c r="N45" s="20" t="s">
        <v>473</v>
      </c>
      <c r="O45" s="20" t="s">
        <v>474</v>
      </c>
    </row>
    <row r="46" ht="75.0" customHeight="1">
      <c r="A46" s="27" t="s">
        <v>68</v>
      </c>
      <c r="B46" s="27" t="s">
        <v>446</v>
      </c>
      <c r="C46" s="28" t="s">
        <v>475</v>
      </c>
      <c r="D46" s="27" t="s">
        <v>476</v>
      </c>
      <c r="E46" s="15">
        <v>4.0</v>
      </c>
      <c r="F46" s="16" t="s">
        <v>477</v>
      </c>
      <c r="G46" s="16" t="s">
        <v>325</v>
      </c>
      <c r="H46" s="15" t="s">
        <v>478</v>
      </c>
      <c r="I46" s="15">
        <v>2025.0</v>
      </c>
      <c r="J46" s="16" t="s">
        <v>479</v>
      </c>
      <c r="K46" s="20" t="s">
        <v>480</v>
      </c>
      <c r="L46" s="20" t="s">
        <v>481</v>
      </c>
      <c r="M46" s="20" t="s">
        <v>482</v>
      </c>
      <c r="N46" s="20" t="s">
        <v>483</v>
      </c>
      <c r="O46" s="20" t="s">
        <v>484</v>
      </c>
    </row>
    <row r="47" ht="75.0" customHeight="1">
      <c r="A47" s="27" t="s">
        <v>68</v>
      </c>
      <c r="B47" s="27" t="s">
        <v>446</v>
      </c>
      <c r="C47" s="28" t="s">
        <v>485</v>
      </c>
      <c r="D47" s="27" t="s">
        <v>486</v>
      </c>
      <c r="E47" s="15">
        <v>4.0</v>
      </c>
      <c r="F47" s="16" t="s">
        <v>487</v>
      </c>
      <c r="G47" s="16" t="s">
        <v>337</v>
      </c>
      <c r="H47" s="15" t="s">
        <v>488</v>
      </c>
      <c r="I47" s="15">
        <v>2025.0</v>
      </c>
      <c r="J47" s="21"/>
      <c r="K47" s="20" t="s">
        <v>489</v>
      </c>
      <c r="L47" s="20" t="s">
        <v>490</v>
      </c>
      <c r="M47" s="20" t="s">
        <v>491</v>
      </c>
      <c r="N47" s="20" t="s">
        <v>492</v>
      </c>
      <c r="O47" s="20" t="s">
        <v>493</v>
      </c>
    </row>
    <row r="48" ht="75.0" customHeight="1">
      <c r="A48" s="27" t="s">
        <v>68</v>
      </c>
      <c r="B48" s="27" t="s">
        <v>446</v>
      </c>
      <c r="C48" s="28" t="s">
        <v>494</v>
      </c>
      <c r="D48" s="27" t="s">
        <v>495</v>
      </c>
      <c r="E48" s="15">
        <v>4.0</v>
      </c>
      <c r="F48" s="16" t="s">
        <v>496</v>
      </c>
      <c r="G48" s="16" t="s">
        <v>78</v>
      </c>
      <c r="H48" s="15" t="s">
        <v>497</v>
      </c>
      <c r="I48" s="15">
        <v>2025.0</v>
      </c>
      <c r="J48" s="21"/>
      <c r="K48" s="20" t="s">
        <v>498</v>
      </c>
      <c r="L48" s="20" t="s">
        <v>499</v>
      </c>
      <c r="M48" s="20" t="s">
        <v>500</v>
      </c>
      <c r="N48" s="20" t="s">
        <v>501</v>
      </c>
      <c r="O48" s="20" t="s">
        <v>502</v>
      </c>
    </row>
    <row r="49" ht="75.0" customHeight="1">
      <c r="A49" s="27" t="s">
        <v>68</v>
      </c>
      <c r="B49" s="27" t="s">
        <v>446</v>
      </c>
      <c r="C49" s="28" t="s">
        <v>503</v>
      </c>
      <c r="D49" s="27" t="s">
        <v>504</v>
      </c>
      <c r="E49" s="15">
        <v>3.0</v>
      </c>
      <c r="F49" s="16" t="s">
        <v>505</v>
      </c>
      <c r="G49" s="16" t="s">
        <v>506</v>
      </c>
      <c r="H49" s="15" t="s">
        <v>507</v>
      </c>
      <c r="I49" s="15">
        <v>2025.0</v>
      </c>
      <c r="J49" s="16" t="s">
        <v>508</v>
      </c>
      <c r="K49" s="20" t="s">
        <v>509</v>
      </c>
      <c r="L49" s="20" t="s">
        <v>510</v>
      </c>
      <c r="M49" s="20" t="s">
        <v>511</v>
      </c>
      <c r="N49" s="20" t="s">
        <v>512</v>
      </c>
      <c r="O49" s="20" t="s">
        <v>513</v>
      </c>
    </row>
    <row r="50" ht="75.0" customHeight="1">
      <c r="A50" s="27" t="s">
        <v>68</v>
      </c>
      <c r="B50" s="27" t="s">
        <v>446</v>
      </c>
      <c r="C50" s="28" t="s">
        <v>514</v>
      </c>
      <c r="D50" s="27" t="s">
        <v>515</v>
      </c>
      <c r="E50" s="15">
        <v>2.0</v>
      </c>
      <c r="F50" s="16" t="s">
        <v>516</v>
      </c>
      <c r="G50" s="16" t="s">
        <v>517</v>
      </c>
      <c r="H50" s="15" t="s">
        <v>518</v>
      </c>
      <c r="I50" s="15">
        <v>2025.0</v>
      </c>
      <c r="J50" s="21"/>
      <c r="K50" s="20" t="s">
        <v>519</v>
      </c>
      <c r="L50" s="20" t="s">
        <v>520</v>
      </c>
      <c r="M50" s="20" t="s">
        <v>521</v>
      </c>
      <c r="N50" s="20" t="s">
        <v>522</v>
      </c>
      <c r="O50" s="20" t="s">
        <v>523</v>
      </c>
    </row>
    <row r="51" ht="75.0" customHeight="1">
      <c r="A51" s="29" t="s">
        <v>96</v>
      </c>
      <c r="B51" s="29" t="s">
        <v>524</v>
      </c>
      <c r="C51" s="30" t="s">
        <v>525</v>
      </c>
      <c r="D51" s="29" t="s">
        <v>526</v>
      </c>
      <c r="E51" s="15">
        <v>3.0</v>
      </c>
      <c r="F51" s="16" t="s">
        <v>527</v>
      </c>
      <c r="G51" s="16" t="s">
        <v>528</v>
      </c>
      <c r="H51" s="15" t="s">
        <v>529</v>
      </c>
      <c r="I51" s="15">
        <v>2025.0</v>
      </c>
      <c r="J51" s="16" t="s">
        <v>530</v>
      </c>
      <c r="K51" s="20" t="s">
        <v>531</v>
      </c>
      <c r="L51" s="20" t="s">
        <v>532</v>
      </c>
      <c r="M51" s="20" t="s">
        <v>533</v>
      </c>
      <c r="N51" s="20" t="s">
        <v>534</v>
      </c>
      <c r="O51" s="20" t="s">
        <v>535</v>
      </c>
    </row>
    <row r="52" ht="75.0" customHeight="1">
      <c r="A52" s="29" t="s">
        <v>96</v>
      </c>
      <c r="B52" s="29" t="s">
        <v>524</v>
      </c>
      <c r="C52" s="30" t="s">
        <v>536</v>
      </c>
      <c r="D52" s="29" t="s">
        <v>537</v>
      </c>
      <c r="E52" s="15">
        <v>4.0</v>
      </c>
      <c r="F52" s="16" t="s">
        <v>538</v>
      </c>
      <c r="G52" s="16" t="s">
        <v>539</v>
      </c>
      <c r="H52" s="15" t="s">
        <v>540</v>
      </c>
      <c r="I52" s="15">
        <v>2025.0</v>
      </c>
      <c r="J52" s="21"/>
      <c r="K52" s="20" t="s">
        <v>541</v>
      </c>
      <c r="L52" s="20" t="s">
        <v>542</v>
      </c>
      <c r="M52" s="20" t="s">
        <v>543</v>
      </c>
      <c r="N52" s="20" t="s">
        <v>544</v>
      </c>
      <c r="O52" s="20" t="s">
        <v>545</v>
      </c>
    </row>
    <row r="53" ht="75.0" customHeight="1">
      <c r="A53" s="29" t="s">
        <v>96</v>
      </c>
      <c r="B53" s="29" t="s">
        <v>524</v>
      </c>
      <c r="C53" s="30" t="s">
        <v>546</v>
      </c>
      <c r="D53" s="29" t="s">
        <v>547</v>
      </c>
      <c r="E53" s="15">
        <v>2.0</v>
      </c>
      <c r="F53" s="16" t="s">
        <v>548</v>
      </c>
      <c r="G53" s="16" t="s">
        <v>78</v>
      </c>
      <c r="H53" s="15" t="s">
        <v>549</v>
      </c>
      <c r="I53" s="15">
        <v>2025.0</v>
      </c>
      <c r="J53" s="16" t="s">
        <v>550</v>
      </c>
      <c r="K53" s="20" t="s">
        <v>551</v>
      </c>
      <c r="L53" s="20" t="s">
        <v>552</v>
      </c>
      <c r="M53" s="20" t="s">
        <v>553</v>
      </c>
      <c r="N53" s="20" t="s">
        <v>554</v>
      </c>
      <c r="O53" s="20" t="s">
        <v>555</v>
      </c>
    </row>
    <row r="54" ht="75.0" customHeight="1">
      <c r="A54" s="29" t="s">
        <v>96</v>
      </c>
      <c r="B54" s="29" t="s">
        <v>524</v>
      </c>
      <c r="C54" s="30" t="s">
        <v>556</v>
      </c>
      <c r="D54" s="29" t="s">
        <v>557</v>
      </c>
      <c r="E54" s="15">
        <v>3.0</v>
      </c>
      <c r="F54" s="16" t="s">
        <v>558</v>
      </c>
      <c r="G54" s="16" t="s">
        <v>78</v>
      </c>
      <c r="H54" s="15" t="s">
        <v>549</v>
      </c>
      <c r="I54" s="15">
        <v>2025.0</v>
      </c>
      <c r="J54" s="16" t="s">
        <v>559</v>
      </c>
      <c r="K54" s="20" t="s">
        <v>560</v>
      </c>
      <c r="L54" s="20" t="s">
        <v>561</v>
      </c>
      <c r="M54" s="20" t="s">
        <v>562</v>
      </c>
      <c r="N54" s="20" t="s">
        <v>563</v>
      </c>
      <c r="O54" s="20" t="s">
        <v>564</v>
      </c>
    </row>
    <row r="55" ht="75.0" customHeight="1">
      <c r="A55" s="29" t="s">
        <v>96</v>
      </c>
      <c r="B55" s="29" t="s">
        <v>524</v>
      </c>
      <c r="C55" s="30" t="s">
        <v>565</v>
      </c>
      <c r="D55" s="29" t="s">
        <v>566</v>
      </c>
      <c r="E55" s="15">
        <v>4.0</v>
      </c>
      <c r="F55" s="16" t="s">
        <v>567</v>
      </c>
      <c r="G55" s="16" t="s">
        <v>568</v>
      </c>
      <c r="H55" s="15" t="s">
        <v>569</v>
      </c>
      <c r="I55" s="15">
        <v>2025.0</v>
      </c>
      <c r="J55" s="21"/>
      <c r="K55" s="20" t="s">
        <v>570</v>
      </c>
      <c r="L55" s="20" t="s">
        <v>571</v>
      </c>
      <c r="M55" s="20" t="s">
        <v>572</v>
      </c>
      <c r="N55" s="20" t="s">
        <v>573</v>
      </c>
      <c r="O55" s="20" t="s">
        <v>574</v>
      </c>
    </row>
    <row r="56" ht="75.0" customHeight="1">
      <c r="A56" s="29" t="s">
        <v>96</v>
      </c>
      <c r="B56" s="29" t="s">
        <v>575</v>
      </c>
      <c r="C56" s="30" t="s">
        <v>576</v>
      </c>
      <c r="D56" s="29" t="s">
        <v>577</v>
      </c>
      <c r="E56" s="15">
        <v>3.0</v>
      </c>
      <c r="F56" s="16" t="s">
        <v>578</v>
      </c>
      <c r="G56" s="16" t="s">
        <v>337</v>
      </c>
      <c r="H56" s="15" t="s">
        <v>579</v>
      </c>
      <c r="I56" s="15">
        <v>2025.0</v>
      </c>
      <c r="J56" s="21"/>
      <c r="K56" s="20" t="s">
        <v>580</v>
      </c>
      <c r="L56" s="20" t="s">
        <v>581</v>
      </c>
      <c r="M56" s="20" t="s">
        <v>582</v>
      </c>
      <c r="N56" s="20" t="s">
        <v>583</v>
      </c>
      <c r="O56" s="20" t="s">
        <v>584</v>
      </c>
    </row>
    <row r="57" ht="75.0" customHeight="1">
      <c r="A57" s="29" t="s">
        <v>96</v>
      </c>
      <c r="B57" s="29" t="s">
        <v>575</v>
      </c>
      <c r="C57" s="30" t="s">
        <v>585</v>
      </c>
      <c r="D57" s="29" t="s">
        <v>586</v>
      </c>
      <c r="E57" s="15" t="s">
        <v>42</v>
      </c>
      <c r="F57" s="16" t="s">
        <v>43</v>
      </c>
      <c r="G57" s="21"/>
      <c r="H57" s="22"/>
      <c r="I57" s="22"/>
      <c r="J57" s="16" t="s">
        <v>587</v>
      </c>
      <c r="K57" s="20" t="s">
        <v>588</v>
      </c>
      <c r="L57" s="20" t="s">
        <v>589</v>
      </c>
      <c r="M57" s="20" t="s">
        <v>590</v>
      </c>
      <c r="N57" s="20" t="s">
        <v>591</v>
      </c>
      <c r="O57" s="20" t="s">
        <v>592</v>
      </c>
    </row>
    <row r="58" ht="75.0" customHeight="1">
      <c r="A58" s="29" t="s">
        <v>96</v>
      </c>
      <c r="B58" s="29" t="s">
        <v>575</v>
      </c>
      <c r="C58" s="30" t="s">
        <v>593</v>
      </c>
      <c r="D58" s="29" t="s">
        <v>594</v>
      </c>
      <c r="E58" s="15" t="s">
        <v>42</v>
      </c>
      <c r="F58" s="16" t="s">
        <v>43</v>
      </c>
      <c r="G58" s="21"/>
      <c r="H58" s="22"/>
      <c r="I58" s="22"/>
      <c r="J58" s="16" t="s">
        <v>595</v>
      </c>
      <c r="K58" s="20" t="s">
        <v>596</v>
      </c>
      <c r="L58" s="20" t="s">
        <v>597</v>
      </c>
      <c r="M58" s="20" t="s">
        <v>598</v>
      </c>
      <c r="N58" s="20" t="s">
        <v>599</v>
      </c>
      <c r="O58" s="20" t="s">
        <v>600</v>
      </c>
    </row>
    <row r="59" ht="75.0" customHeight="1">
      <c r="A59" s="29" t="s">
        <v>96</v>
      </c>
      <c r="B59" s="29" t="s">
        <v>575</v>
      </c>
      <c r="C59" s="30" t="s">
        <v>601</v>
      </c>
      <c r="D59" s="29" t="s">
        <v>602</v>
      </c>
      <c r="E59" s="15" t="s">
        <v>42</v>
      </c>
      <c r="F59" s="16" t="s">
        <v>43</v>
      </c>
      <c r="G59" s="21"/>
      <c r="H59" s="22"/>
      <c r="I59" s="22"/>
      <c r="J59" s="16" t="s">
        <v>603</v>
      </c>
      <c r="K59" s="20" t="s">
        <v>604</v>
      </c>
      <c r="L59" s="20" t="s">
        <v>605</v>
      </c>
      <c r="M59" s="20" t="s">
        <v>606</v>
      </c>
      <c r="N59" s="20" t="s">
        <v>607</v>
      </c>
      <c r="O59" s="20" t="s">
        <v>608</v>
      </c>
    </row>
    <row r="60" ht="75.0" customHeight="1">
      <c r="A60" s="29" t="s">
        <v>96</v>
      </c>
      <c r="B60" s="29" t="s">
        <v>575</v>
      </c>
      <c r="C60" s="30" t="s">
        <v>609</v>
      </c>
      <c r="D60" s="29" t="s">
        <v>610</v>
      </c>
      <c r="E60" s="15">
        <v>2.0</v>
      </c>
      <c r="F60" s="16" t="s">
        <v>611</v>
      </c>
      <c r="G60" s="16" t="s">
        <v>612</v>
      </c>
      <c r="H60" s="15" t="s">
        <v>112</v>
      </c>
      <c r="I60" s="15">
        <v>2024.0</v>
      </c>
      <c r="J60" s="16" t="s">
        <v>613</v>
      </c>
      <c r="K60" s="20" t="s">
        <v>614</v>
      </c>
      <c r="L60" s="20" t="s">
        <v>615</v>
      </c>
      <c r="M60" s="20" t="s">
        <v>616</v>
      </c>
      <c r="N60" s="20" t="s">
        <v>617</v>
      </c>
      <c r="O60" s="20" t="s">
        <v>618</v>
      </c>
    </row>
    <row r="61" ht="75.0" customHeight="1">
      <c r="A61" s="29" t="s">
        <v>96</v>
      </c>
      <c r="B61" s="29" t="s">
        <v>575</v>
      </c>
      <c r="C61" s="30" t="s">
        <v>619</v>
      </c>
      <c r="D61" s="29" t="s">
        <v>620</v>
      </c>
      <c r="E61" s="15">
        <v>2.0</v>
      </c>
      <c r="F61" s="16" t="s">
        <v>621</v>
      </c>
      <c r="G61" s="16" t="s">
        <v>622</v>
      </c>
      <c r="H61" s="15" t="s">
        <v>623</v>
      </c>
      <c r="I61" s="15">
        <v>2025.0</v>
      </c>
      <c r="J61" s="16" t="s">
        <v>624</v>
      </c>
      <c r="K61" s="20" t="s">
        <v>625</v>
      </c>
      <c r="L61" s="20" t="s">
        <v>626</v>
      </c>
      <c r="M61" s="20" t="s">
        <v>627</v>
      </c>
      <c r="N61" s="20" t="s">
        <v>628</v>
      </c>
      <c r="O61" s="20" t="s">
        <v>629</v>
      </c>
    </row>
    <row r="62" ht="75.0" customHeight="1">
      <c r="A62" s="29" t="s">
        <v>96</v>
      </c>
      <c r="B62" s="29" t="s">
        <v>575</v>
      </c>
      <c r="C62" s="30" t="s">
        <v>630</v>
      </c>
      <c r="D62" s="29" t="s">
        <v>631</v>
      </c>
      <c r="E62" s="15">
        <v>3.0</v>
      </c>
      <c r="F62" s="16" t="s">
        <v>632</v>
      </c>
      <c r="G62" s="16" t="s">
        <v>325</v>
      </c>
      <c r="H62" s="15" t="s">
        <v>633</v>
      </c>
      <c r="I62" s="15">
        <v>2025.0</v>
      </c>
      <c r="J62" s="21"/>
      <c r="K62" s="20" t="s">
        <v>634</v>
      </c>
      <c r="L62" s="20" t="s">
        <v>635</v>
      </c>
      <c r="M62" s="20" t="s">
        <v>636</v>
      </c>
      <c r="N62" s="20" t="s">
        <v>637</v>
      </c>
      <c r="O62" s="20" t="s">
        <v>638</v>
      </c>
    </row>
    <row r="63" ht="75.0" customHeight="1">
      <c r="A63" s="29" t="s">
        <v>96</v>
      </c>
      <c r="B63" s="29" t="s">
        <v>639</v>
      </c>
      <c r="C63" s="30" t="s">
        <v>640</v>
      </c>
      <c r="D63" s="29" t="s">
        <v>641</v>
      </c>
      <c r="E63" s="15" t="s">
        <v>42</v>
      </c>
      <c r="F63" s="16" t="s">
        <v>43</v>
      </c>
      <c r="G63" s="21"/>
      <c r="H63" s="22"/>
      <c r="I63" s="22"/>
      <c r="J63" s="16" t="s">
        <v>642</v>
      </c>
      <c r="K63" s="20" t="s">
        <v>643</v>
      </c>
      <c r="L63" s="20" t="s">
        <v>644</v>
      </c>
      <c r="M63" s="20" t="s">
        <v>645</v>
      </c>
      <c r="N63" s="20" t="s">
        <v>646</v>
      </c>
      <c r="O63" s="20" t="s">
        <v>647</v>
      </c>
    </row>
    <row r="64" ht="75.0" customHeight="1">
      <c r="A64" s="29" t="s">
        <v>96</v>
      </c>
      <c r="B64" s="29" t="s">
        <v>639</v>
      </c>
      <c r="C64" s="30" t="s">
        <v>648</v>
      </c>
      <c r="D64" s="29" t="s">
        <v>649</v>
      </c>
      <c r="E64" s="15">
        <v>3.0</v>
      </c>
      <c r="F64" s="16" t="s">
        <v>650</v>
      </c>
      <c r="G64" s="16" t="s">
        <v>288</v>
      </c>
      <c r="H64" s="15" t="s">
        <v>651</v>
      </c>
      <c r="I64" s="15">
        <v>2025.0</v>
      </c>
      <c r="J64" s="16" t="s">
        <v>652</v>
      </c>
      <c r="K64" s="20" t="s">
        <v>653</v>
      </c>
      <c r="L64" s="20" t="s">
        <v>654</v>
      </c>
      <c r="M64" s="20" t="s">
        <v>655</v>
      </c>
      <c r="N64" s="20" t="s">
        <v>656</v>
      </c>
      <c r="O64" s="20" t="s">
        <v>657</v>
      </c>
    </row>
    <row r="65" ht="75.0" customHeight="1">
      <c r="A65" s="29" t="s">
        <v>96</v>
      </c>
      <c r="B65" s="29" t="s">
        <v>639</v>
      </c>
      <c r="C65" s="30" t="s">
        <v>658</v>
      </c>
      <c r="D65" s="29" t="s">
        <v>659</v>
      </c>
      <c r="E65" s="15">
        <v>4.0</v>
      </c>
      <c r="F65" s="16" t="s">
        <v>660</v>
      </c>
      <c r="G65" s="16" t="s">
        <v>661</v>
      </c>
      <c r="H65" s="15" t="s">
        <v>662</v>
      </c>
      <c r="I65" s="15">
        <v>2025.0</v>
      </c>
      <c r="J65" s="21"/>
      <c r="K65" s="20" t="s">
        <v>663</v>
      </c>
      <c r="L65" s="20" t="s">
        <v>664</v>
      </c>
      <c r="M65" s="20" t="s">
        <v>665</v>
      </c>
      <c r="N65" s="20" t="s">
        <v>666</v>
      </c>
      <c r="O65" s="20" t="s">
        <v>667</v>
      </c>
    </row>
    <row r="66" ht="75.0" customHeight="1">
      <c r="A66" s="29" t="s">
        <v>96</v>
      </c>
      <c r="B66" s="29" t="s">
        <v>639</v>
      </c>
      <c r="C66" s="30" t="s">
        <v>668</v>
      </c>
      <c r="D66" s="29" t="s">
        <v>669</v>
      </c>
      <c r="E66" s="15" t="s">
        <v>42</v>
      </c>
      <c r="F66" s="16" t="s">
        <v>43</v>
      </c>
      <c r="G66" s="21"/>
      <c r="H66" s="22"/>
      <c r="I66" s="22"/>
      <c r="J66" s="16" t="s">
        <v>670</v>
      </c>
      <c r="K66" s="20" t="s">
        <v>671</v>
      </c>
      <c r="L66" s="20" t="s">
        <v>672</v>
      </c>
      <c r="M66" s="20" t="s">
        <v>673</v>
      </c>
      <c r="N66" s="20" t="s">
        <v>674</v>
      </c>
      <c r="O66" s="20" t="s">
        <v>675</v>
      </c>
    </row>
    <row r="67" ht="75.0" customHeight="1">
      <c r="A67" s="29" t="s">
        <v>96</v>
      </c>
      <c r="B67" s="29" t="s">
        <v>676</v>
      </c>
      <c r="C67" s="30" t="s">
        <v>677</v>
      </c>
      <c r="D67" s="29" t="s">
        <v>678</v>
      </c>
      <c r="E67" s="15">
        <v>3.0</v>
      </c>
      <c r="F67" s="16" t="s">
        <v>679</v>
      </c>
      <c r="G67" s="16" t="s">
        <v>680</v>
      </c>
      <c r="H67" s="15" t="s">
        <v>681</v>
      </c>
      <c r="I67" s="15">
        <v>2025.0</v>
      </c>
      <c r="J67" s="21"/>
      <c r="K67" s="20" t="s">
        <v>682</v>
      </c>
      <c r="L67" s="20" t="s">
        <v>683</v>
      </c>
      <c r="M67" s="20" t="s">
        <v>684</v>
      </c>
      <c r="N67" s="20" t="s">
        <v>685</v>
      </c>
      <c r="O67" s="20" t="s">
        <v>686</v>
      </c>
    </row>
    <row r="68" ht="75.0" customHeight="1">
      <c r="A68" s="29" t="s">
        <v>96</v>
      </c>
      <c r="B68" s="29" t="s">
        <v>676</v>
      </c>
      <c r="C68" s="30" t="s">
        <v>687</v>
      </c>
      <c r="D68" s="29" t="s">
        <v>688</v>
      </c>
      <c r="E68" s="15">
        <v>3.0</v>
      </c>
      <c r="F68" s="16" t="s">
        <v>689</v>
      </c>
      <c r="G68" s="16" t="s">
        <v>690</v>
      </c>
      <c r="H68" s="15" t="s">
        <v>691</v>
      </c>
      <c r="I68" s="15">
        <v>2025.0</v>
      </c>
      <c r="J68" s="21"/>
      <c r="K68" s="20" t="s">
        <v>692</v>
      </c>
      <c r="L68" s="20" t="s">
        <v>693</v>
      </c>
      <c r="M68" s="20" t="s">
        <v>694</v>
      </c>
      <c r="N68" s="20" t="s">
        <v>695</v>
      </c>
      <c r="O68" s="20" t="s">
        <v>696</v>
      </c>
    </row>
    <row r="69" ht="75.0" customHeight="1">
      <c r="A69" s="29" t="s">
        <v>96</v>
      </c>
      <c r="B69" s="29" t="s">
        <v>676</v>
      </c>
      <c r="C69" s="30" t="s">
        <v>697</v>
      </c>
      <c r="D69" s="29" t="s">
        <v>698</v>
      </c>
      <c r="E69" s="15" t="s">
        <v>42</v>
      </c>
      <c r="F69" s="16" t="s">
        <v>43</v>
      </c>
      <c r="G69" s="21"/>
      <c r="H69" s="22"/>
      <c r="I69" s="22"/>
      <c r="J69" s="16" t="s">
        <v>699</v>
      </c>
      <c r="K69" s="20" t="s">
        <v>700</v>
      </c>
      <c r="L69" s="20" t="s">
        <v>701</v>
      </c>
      <c r="M69" s="20" t="s">
        <v>702</v>
      </c>
      <c r="N69" s="20" t="s">
        <v>703</v>
      </c>
      <c r="O69" s="20" t="s">
        <v>704</v>
      </c>
    </row>
    <row r="70" ht="75.0" customHeight="1">
      <c r="A70" s="29" t="s">
        <v>96</v>
      </c>
      <c r="B70" s="29" t="s">
        <v>676</v>
      </c>
      <c r="C70" s="30" t="s">
        <v>705</v>
      </c>
      <c r="D70" s="29" t="s">
        <v>706</v>
      </c>
      <c r="E70" s="15" t="s">
        <v>42</v>
      </c>
      <c r="F70" s="16" t="s">
        <v>43</v>
      </c>
      <c r="G70" s="21"/>
      <c r="H70" s="22"/>
      <c r="I70" s="22"/>
      <c r="J70" s="16" t="s">
        <v>707</v>
      </c>
      <c r="K70" s="20" t="s">
        <v>708</v>
      </c>
      <c r="L70" s="20" t="s">
        <v>709</v>
      </c>
      <c r="M70" s="20" t="s">
        <v>710</v>
      </c>
      <c r="N70" s="20" t="s">
        <v>711</v>
      </c>
      <c r="O70" s="20" t="s">
        <v>712</v>
      </c>
    </row>
    <row r="71" ht="75.0" customHeight="1">
      <c r="A71" s="29" t="s">
        <v>96</v>
      </c>
      <c r="B71" s="29" t="s">
        <v>713</v>
      </c>
      <c r="C71" s="30" t="s">
        <v>714</v>
      </c>
      <c r="D71" s="29" t="s">
        <v>715</v>
      </c>
      <c r="E71" s="15" t="s">
        <v>42</v>
      </c>
      <c r="F71" s="16" t="s">
        <v>43</v>
      </c>
      <c r="G71" s="21"/>
      <c r="H71" s="22"/>
      <c r="I71" s="22"/>
      <c r="J71" s="16" t="s">
        <v>716</v>
      </c>
      <c r="K71" s="20" t="s">
        <v>717</v>
      </c>
      <c r="L71" s="20" t="s">
        <v>718</v>
      </c>
      <c r="M71" s="20" t="s">
        <v>719</v>
      </c>
      <c r="N71" s="20" t="s">
        <v>720</v>
      </c>
      <c r="O71" s="20" t="s">
        <v>721</v>
      </c>
    </row>
    <row r="72" ht="75.0" customHeight="1">
      <c r="A72" s="29" t="s">
        <v>96</v>
      </c>
      <c r="B72" s="29" t="s">
        <v>713</v>
      </c>
      <c r="C72" s="30" t="s">
        <v>722</v>
      </c>
      <c r="D72" s="29" t="s">
        <v>723</v>
      </c>
      <c r="E72" s="15" t="s">
        <v>42</v>
      </c>
      <c r="F72" s="16" t="s">
        <v>43</v>
      </c>
      <c r="G72" s="21"/>
      <c r="H72" s="22"/>
      <c r="I72" s="22"/>
      <c r="J72" s="16" t="s">
        <v>724</v>
      </c>
      <c r="K72" s="20" t="s">
        <v>725</v>
      </c>
      <c r="L72" s="20" t="s">
        <v>726</v>
      </c>
      <c r="M72" s="20" t="s">
        <v>727</v>
      </c>
      <c r="N72" s="20" t="s">
        <v>728</v>
      </c>
      <c r="O72" s="20" t="s">
        <v>729</v>
      </c>
    </row>
    <row r="73" ht="75.0" customHeight="1">
      <c r="A73" s="29" t="s">
        <v>96</v>
      </c>
      <c r="B73" s="29" t="s">
        <v>713</v>
      </c>
      <c r="C73" s="30" t="s">
        <v>730</v>
      </c>
      <c r="D73" s="29" t="s">
        <v>731</v>
      </c>
      <c r="E73" s="15" t="s">
        <v>42</v>
      </c>
      <c r="F73" s="16" t="s">
        <v>43</v>
      </c>
      <c r="G73" s="21"/>
      <c r="H73" s="22"/>
      <c r="I73" s="22"/>
      <c r="J73" s="16" t="s">
        <v>732</v>
      </c>
      <c r="K73" s="20" t="s">
        <v>733</v>
      </c>
      <c r="L73" s="20" t="s">
        <v>734</v>
      </c>
      <c r="M73" s="20" t="s">
        <v>735</v>
      </c>
      <c r="N73" s="20" t="s">
        <v>736</v>
      </c>
      <c r="O73" s="20" t="s">
        <v>737</v>
      </c>
    </row>
    <row r="74" ht="75.0" customHeight="1">
      <c r="A74" s="29" t="s">
        <v>96</v>
      </c>
      <c r="B74" s="29" t="s">
        <v>713</v>
      </c>
      <c r="C74" s="30" t="s">
        <v>738</v>
      </c>
      <c r="D74" s="29" t="s">
        <v>739</v>
      </c>
      <c r="E74" s="15" t="s">
        <v>42</v>
      </c>
      <c r="F74" s="16" t="s">
        <v>43</v>
      </c>
      <c r="G74" s="21"/>
      <c r="H74" s="22"/>
      <c r="I74" s="22"/>
      <c r="J74" s="16" t="s">
        <v>740</v>
      </c>
      <c r="K74" s="20" t="s">
        <v>741</v>
      </c>
      <c r="L74" s="20" t="s">
        <v>742</v>
      </c>
      <c r="M74" s="20" t="s">
        <v>743</v>
      </c>
      <c r="N74" s="20" t="s">
        <v>744</v>
      </c>
      <c r="O74" s="20" t="s">
        <v>745</v>
      </c>
    </row>
    <row r="75" ht="75.0" customHeight="1">
      <c r="A75" s="29" t="s">
        <v>96</v>
      </c>
      <c r="B75" s="29" t="s">
        <v>713</v>
      </c>
      <c r="C75" s="30" t="s">
        <v>746</v>
      </c>
      <c r="D75" s="29" t="s">
        <v>747</v>
      </c>
      <c r="E75" s="15">
        <v>3.0</v>
      </c>
      <c r="F75" s="16" t="s">
        <v>748</v>
      </c>
      <c r="G75" s="16" t="s">
        <v>325</v>
      </c>
      <c r="H75" s="15" t="s">
        <v>749</v>
      </c>
      <c r="I75" s="15">
        <v>2025.0</v>
      </c>
      <c r="J75" s="21"/>
      <c r="K75" s="20" t="s">
        <v>750</v>
      </c>
      <c r="L75" s="20" t="s">
        <v>751</v>
      </c>
      <c r="M75" s="20" t="s">
        <v>752</v>
      </c>
      <c r="N75" s="20" t="s">
        <v>753</v>
      </c>
      <c r="O75" s="20" t="s">
        <v>754</v>
      </c>
    </row>
    <row r="76" ht="75.0" customHeight="1">
      <c r="A76" s="29" t="s">
        <v>96</v>
      </c>
      <c r="B76" s="29" t="s">
        <v>713</v>
      </c>
      <c r="C76" s="30" t="s">
        <v>755</v>
      </c>
      <c r="D76" s="29" t="s">
        <v>756</v>
      </c>
      <c r="E76" s="15" t="s">
        <v>42</v>
      </c>
      <c r="F76" s="16" t="s">
        <v>43</v>
      </c>
      <c r="G76" s="21"/>
      <c r="H76" s="22"/>
      <c r="I76" s="22"/>
      <c r="J76" s="16" t="s">
        <v>757</v>
      </c>
      <c r="K76" s="20" t="s">
        <v>758</v>
      </c>
      <c r="L76" s="20" t="s">
        <v>759</v>
      </c>
      <c r="M76" s="20" t="s">
        <v>760</v>
      </c>
      <c r="N76" s="20" t="s">
        <v>761</v>
      </c>
      <c r="O76" s="20" t="s">
        <v>762</v>
      </c>
    </row>
    <row r="77" ht="75.0" customHeight="1">
      <c r="A77" s="29" t="s">
        <v>96</v>
      </c>
      <c r="B77" s="29" t="s">
        <v>713</v>
      </c>
      <c r="C77" s="30" t="s">
        <v>763</v>
      </c>
      <c r="D77" s="29" t="s">
        <v>764</v>
      </c>
      <c r="E77" s="15">
        <v>2.0</v>
      </c>
      <c r="F77" s="16" t="s">
        <v>765</v>
      </c>
      <c r="G77" s="16" t="s">
        <v>612</v>
      </c>
      <c r="H77" s="15" t="s">
        <v>112</v>
      </c>
      <c r="I77" s="15">
        <v>2024.0</v>
      </c>
      <c r="J77" s="16" t="s">
        <v>766</v>
      </c>
      <c r="K77" s="20" t="s">
        <v>767</v>
      </c>
      <c r="L77" s="20" t="s">
        <v>768</v>
      </c>
      <c r="M77" s="20" t="s">
        <v>769</v>
      </c>
      <c r="N77" s="20" t="s">
        <v>770</v>
      </c>
      <c r="O77" s="20" t="s">
        <v>771</v>
      </c>
    </row>
    <row r="78" ht="75.0" customHeight="1">
      <c r="A78" s="29" t="s">
        <v>96</v>
      </c>
      <c r="B78" s="29" t="s">
        <v>713</v>
      </c>
      <c r="C78" s="30" t="s">
        <v>772</v>
      </c>
      <c r="D78" s="29" t="s">
        <v>773</v>
      </c>
      <c r="E78" s="15" t="s">
        <v>42</v>
      </c>
      <c r="F78" s="16" t="s">
        <v>43</v>
      </c>
      <c r="G78" s="21"/>
      <c r="H78" s="22"/>
      <c r="I78" s="22"/>
      <c r="J78" s="16" t="s">
        <v>774</v>
      </c>
      <c r="K78" s="20" t="s">
        <v>775</v>
      </c>
      <c r="L78" s="20" t="s">
        <v>776</v>
      </c>
      <c r="M78" s="20" t="s">
        <v>777</v>
      </c>
      <c r="N78" s="20" t="s">
        <v>778</v>
      </c>
      <c r="O78" s="20" t="s">
        <v>779</v>
      </c>
    </row>
    <row r="79" ht="75.0" customHeight="1">
      <c r="A79" s="29" t="s">
        <v>96</v>
      </c>
      <c r="B79" s="29" t="s">
        <v>713</v>
      </c>
      <c r="C79" s="30" t="s">
        <v>780</v>
      </c>
      <c r="D79" s="29" t="s">
        <v>781</v>
      </c>
      <c r="E79" s="15">
        <v>3.0</v>
      </c>
      <c r="F79" s="16" t="s">
        <v>782</v>
      </c>
      <c r="G79" s="16" t="s">
        <v>171</v>
      </c>
      <c r="H79" s="15" t="s">
        <v>783</v>
      </c>
      <c r="I79" s="15">
        <v>2025.0</v>
      </c>
      <c r="J79" s="21"/>
      <c r="K79" s="20" t="s">
        <v>784</v>
      </c>
      <c r="L79" s="20" t="s">
        <v>785</v>
      </c>
      <c r="M79" s="20" t="s">
        <v>786</v>
      </c>
      <c r="N79" s="20" t="s">
        <v>787</v>
      </c>
      <c r="O79" s="20" t="s">
        <v>788</v>
      </c>
    </row>
    <row r="80" ht="75.0" customHeight="1">
      <c r="A80" s="31" t="s">
        <v>111</v>
      </c>
      <c r="B80" s="31" t="s">
        <v>789</v>
      </c>
      <c r="C80" s="32" t="s">
        <v>790</v>
      </c>
      <c r="D80" s="31" t="s">
        <v>791</v>
      </c>
      <c r="E80" s="15">
        <v>3.0</v>
      </c>
      <c r="F80" s="16" t="s">
        <v>792</v>
      </c>
      <c r="G80" s="16" t="s">
        <v>793</v>
      </c>
      <c r="H80" s="15" t="s">
        <v>488</v>
      </c>
      <c r="I80" s="15">
        <v>2025.0</v>
      </c>
      <c r="J80" s="21"/>
      <c r="K80" s="20" t="s">
        <v>794</v>
      </c>
      <c r="L80" s="20" t="s">
        <v>795</v>
      </c>
      <c r="M80" s="20" t="s">
        <v>796</v>
      </c>
      <c r="N80" s="20" t="s">
        <v>797</v>
      </c>
      <c r="O80" s="20" t="s">
        <v>798</v>
      </c>
    </row>
    <row r="81" ht="75.0" customHeight="1">
      <c r="A81" s="31" t="s">
        <v>111</v>
      </c>
      <c r="B81" s="31" t="s">
        <v>789</v>
      </c>
      <c r="C81" s="32" t="s">
        <v>799</v>
      </c>
      <c r="D81" s="31" t="s">
        <v>800</v>
      </c>
      <c r="E81" s="15">
        <v>4.0</v>
      </c>
      <c r="F81" s="16" t="s">
        <v>801</v>
      </c>
      <c r="G81" s="16" t="s">
        <v>802</v>
      </c>
      <c r="H81" s="15" t="s">
        <v>803</v>
      </c>
      <c r="I81" s="15">
        <v>2025.0</v>
      </c>
      <c r="J81" s="16" t="s">
        <v>804</v>
      </c>
      <c r="K81" s="20" t="s">
        <v>805</v>
      </c>
      <c r="L81" s="20" t="s">
        <v>806</v>
      </c>
      <c r="M81" s="20" t="s">
        <v>807</v>
      </c>
      <c r="N81" s="20" t="s">
        <v>808</v>
      </c>
      <c r="O81" s="20" t="s">
        <v>809</v>
      </c>
    </row>
    <row r="82" ht="75.0" customHeight="1">
      <c r="A82" s="31" t="s">
        <v>111</v>
      </c>
      <c r="B82" s="31" t="s">
        <v>789</v>
      </c>
      <c r="C82" s="32" t="s">
        <v>810</v>
      </c>
      <c r="D82" s="31" t="s">
        <v>811</v>
      </c>
      <c r="E82" s="15">
        <v>4.0</v>
      </c>
      <c r="F82" s="16" t="s">
        <v>812</v>
      </c>
      <c r="G82" s="16" t="s">
        <v>288</v>
      </c>
      <c r="H82" s="15" t="s">
        <v>813</v>
      </c>
      <c r="I82" s="15">
        <v>2025.0</v>
      </c>
      <c r="J82" s="21"/>
      <c r="K82" s="20" t="s">
        <v>814</v>
      </c>
      <c r="L82" s="20" t="s">
        <v>815</v>
      </c>
      <c r="M82" s="20" t="s">
        <v>816</v>
      </c>
      <c r="N82" s="20" t="s">
        <v>817</v>
      </c>
      <c r="O82" s="20" t="s">
        <v>818</v>
      </c>
    </row>
    <row r="83" ht="75.0" customHeight="1">
      <c r="A83" s="31" t="s">
        <v>111</v>
      </c>
      <c r="B83" s="31" t="s">
        <v>789</v>
      </c>
      <c r="C83" s="32" t="s">
        <v>819</v>
      </c>
      <c r="D83" s="31" t="s">
        <v>820</v>
      </c>
      <c r="E83" s="15">
        <v>3.0</v>
      </c>
      <c r="F83" s="16" t="s">
        <v>821</v>
      </c>
      <c r="G83" s="16" t="s">
        <v>171</v>
      </c>
      <c r="H83" s="15" t="s">
        <v>822</v>
      </c>
      <c r="I83" s="15">
        <v>2025.0</v>
      </c>
      <c r="J83" s="21"/>
      <c r="K83" s="20" t="s">
        <v>823</v>
      </c>
      <c r="L83" s="20" t="s">
        <v>824</v>
      </c>
      <c r="M83" s="20" t="s">
        <v>825</v>
      </c>
      <c r="N83" s="20" t="s">
        <v>826</v>
      </c>
      <c r="O83" s="20" t="s">
        <v>827</v>
      </c>
    </row>
    <row r="84" ht="75.0" customHeight="1">
      <c r="A84" s="31" t="s">
        <v>111</v>
      </c>
      <c r="B84" s="31" t="s">
        <v>828</v>
      </c>
      <c r="C84" s="32" t="s">
        <v>829</v>
      </c>
      <c r="D84" s="31" t="s">
        <v>830</v>
      </c>
      <c r="E84" s="15" t="s">
        <v>42</v>
      </c>
      <c r="F84" s="16" t="s">
        <v>43</v>
      </c>
      <c r="G84" s="21"/>
      <c r="H84" s="22"/>
      <c r="I84" s="22"/>
      <c r="J84" s="16" t="s">
        <v>831</v>
      </c>
      <c r="K84" s="20" t="s">
        <v>832</v>
      </c>
      <c r="L84" s="20" t="s">
        <v>833</v>
      </c>
      <c r="M84" s="20" t="s">
        <v>834</v>
      </c>
      <c r="N84" s="20" t="s">
        <v>835</v>
      </c>
      <c r="O84" s="20" t="s">
        <v>836</v>
      </c>
    </row>
    <row r="85" ht="75.0" customHeight="1">
      <c r="A85" s="31" t="s">
        <v>111</v>
      </c>
      <c r="B85" s="31" t="s">
        <v>828</v>
      </c>
      <c r="C85" s="32" t="s">
        <v>837</v>
      </c>
      <c r="D85" s="31" t="s">
        <v>838</v>
      </c>
      <c r="E85" s="15">
        <v>2.0</v>
      </c>
      <c r="F85" s="16" t="s">
        <v>839</v>
      </c>
      <c r="G85" s="16" t="s">
        <v>840</v>
      </c>
      <c r="H85" s="15" t="s">
        <v>841</v>
      </c>
      <c r="I85" s="15">
        <v>2025.0</v>
      </c>
      <c r="J85" s="21"/>
      <c r="K85" s="20" t="s">
        <v>842</v>
      </c>
      <c r="L85" s="20" t="s">
        <v>843</v>
      </c>
      <c r="M85" s="20" t="s">
        <v>844</v>
      </c>
      <c r="N85" s="20" t="s">
        <v>845</v>
      </c>
      <c r="O85" s="20" t="s">
        <v>846</v>
      </c>
    </row>
    <row r="86" ht="75.0" customHeight="1">
      <c r="A86" s="31" t="s">
        <v>111</v>
      </c>
      <c r="B86" s="31" t="s">
        <v>828</v>
      </c>
      <c r="C86" s="32" t="s">
        <v>847</v>
      </c>
      <c r="D86" s="31" t="s">
        <v>848</v>
      </c>
      <c r="E86" s="15">
        <v>2.0</v>
      </c>
      <c r="F86" s="16" t="s">
        <v>849</v>
      </c>
      <c r="G86" s="16" t="s">
        <v>850</v>
      </c>
      <c r="H86" s="15" t="s">
        <v>112</v>
      </c>
      <c r="I86" s="15">
        <v>2023.0</v>
      </c>
      <c r="J86" s="16" t="s">
        <v>851</v>
      </c>
      <c r="K86" s="20" t="s">
        <v>852</v>
      </c>
      <c r="L86" s="20" t="s">
        <v>853</v>
      </c>
      <c r="M86" s="20" t="s">
        <v>854</v>
      </c>
      <c r="N86" s="20" t="s">
        <v>855</v>
      </c>
      <c r="O86" s="20" t="s">
        <v>856</v>
      </c>
    </row>
    <row r="87" ht="75.0" customHeight="1">
      <c r="A87" s="31" t="s">
        <v>111</v>
      </c>
      <c r="B87" s="31" t="s">
        <v>828</v>
      </c>
      <c r="C87" s="32" t="s">
        <v>857</v>
      </c>
      <c r="D87" s="31" t="s">
        <v>858</v>
      </c>
      <c r="E87" s="15">
        <v>3.0</v>
      </c>
      <c r="F87" s="16" t="s">
        <v>859</v>
      </c>
      <c r="G87" s="16" t="s">
        <v>288</v>
      </c>
      <c r="H87" s="15" t="s">
        <v>860</v>
      </c>
      <c r="I87" s="15">
        <v>2025.0</v>
      </c>
      <c r="J87" s="21"/>
      <c r="K87" s="20" t="s">
        <v>861</v>
      </c>
      <c r="L87" s="20" t="s">
        <v>862</v>
      </c>
      <c r="M87" s="20" t="s">
        <v>863</v>
      </c>
      <c r="N87" s="20" t="s">
        <v>864</v>
      </c>
      <c r="O87" s="20" t="s">
        <v>865</v>
      </c>
    </row>
    <row r="88" ht="75.0" customHeight="1">
      <c r="A88" s="31" t="s">
        <v>111</v>
      </c>
      <c r="B88" s="31" t="s">
        <v>828</v>
      </c>
      <c r="C88" s="32" t="s">
        <v>866</v>
      </c>
      <c r="D88" s="31" t="s">
        <v>867</v>
      </c>
      <c r="E88" s="15">
        <v>4.0</v>
      </c>
      <c r="F88" s="16" t="s">
        <v>868</v>
      </c>
      <c r="G88" s="16" t="s">
        <v>869</v>
      </c>
      <c r="H88" s="15" t="s">
        <v>870</v>
      </c>
      <c r="I88" s="15">
        <v>2025.0</v>
      </c>
      <c r="J88" s="21"/>
      <c r="K88" s="20" t="s">
        <v>871</v>
      </c>
      <c r="L88" s="20" t="s">
        <v>872</v>
      </c>
      <c r="M88" s="20" t="s">
        <v>873</v>
      </c>
      <c r="N88" s="20" t="s">
        <v>874</v>
      </c>
      <c r="O88" s="20" t="s">
        <v>875</v>
      </c>
    </row>
    <row r="89" ht="75.0" customHeight="1">
      <c r="A89" s="31" t="s">
        <v>111</v>
      </c>
      <c r="B89" s="31" t="s">
        <v>828</v>
      </c>
      <c r="C89" s="32" t="s">
        <v>876</v>
      </c>
      <c r="D89" s="31" t="s">
        <v>877</v>
      </c>
      <c r="E89" s="15">
        <v>4.0</v>
      </c>
      <c r="F89" s="16" t="s">
        <v>878</v>
      </c>
      <c r="G89" s="16" t="s">
        <v>879</v>
      </c>
      <c r="H89" s="15" t="s">
        <v>880</v>
      </c>
      <c r="I89" s="15">
        <v>2025.0</v>
      </c>
      <c r="J89" s="21"/>
      <c r="K89" s="20" t="s">
        <v>881</v>
      </c>
      <c r="L89" s="20" t="s">
        <v>882</v>
      </c>
      <c r="M89" s="20" t="s">
        <v>883</v>
      </c>
      <c r="N89" s="20" t="s">
        <v>884</v>
      </c>
      <c r="O89" s="20" t="s">
        <v>885</v>
      </c>
    </row>
    <row r="90" ht="75.0" customHeight="1">
      <c r="A90" s="31" t="s">
        <v>111</v>
      </c>
      <c r="B90" s="31" t="s">
        <v>886</v>
      </c>
      <c r="C90" s="32" t="s">
        <v>887</v>
      </c>
      <c r="D90" s="31" t="s">
        <v>888</v>
      </c>
      <c r="E90" s="15" t="s">
        <v>42</v>
      </c>
      <c r="F90" s="16" t="s">
        <v>43</v>
      </c>
      <c r="G90" s="21"/>
      <c r="H90" s="22"/>
      <c r="I90" s="22"/>
      <c r="J90" s="16" t="s">
        <v>889</v>
      </c>
      <c r="K90" s="20" t="s">
        <v>890</v>
      </c>
      <c r="L90" s="20" t="s">
        <v>891</v>
      </c>
      <c r="M90" s="20" t="s">
        <v>892</v>
      </c>
      <c r="N90" s="20" t="s">
        <v>893</v>
      </c>
      <c r="O90" s="20" t="s">
        <v>894</v>
      </c>
    </row>
    <row r="91" ht="75.0" customHeight="1">
      <c r="A91" s="31" t="s">
        <v>111</v>
      </c>
      <c r="B91" s="31" t="s">
        <v>886</v>
      </c>
      <c r="C91" s="32" t="s">
        <v>895</v>
      </c>
      <c r="D91" s="31" t="s">
        <v>896</v>
      </c>
      <c r="E91" s="15" t="s">
        <v>42</v>
      </c>
      <c r="F91" s="16" t="s">
        <v>43</v>
      </c>
      <c r="G91" s="21"/>
      <c r="H91" s="22"/>
      <c r="I91" s="22"/>
      <c r="J91" s="16" t="s">
        <v>897</v>
      </c>
      <c r="K91" s="20" t="s">
        <v>898</v>
      </c>
      <c r="L91" s="20" t="s">
        <v>899</v>
      </c>
      <c r="M91" s="20" t="s">
        <v>900</v>
      </c>
      <c r="N91" s="20" t="s">
        <v>901</v>
      </c>
      <c r="O91" s="20" t="s">
        <v>902</v>
      </c>
    </row>
    <row r="92" ht="75.0" customHeight="1">
      <c r="A92" s="31" t="s">
        <v>111</v>
      </c>
      <c r="B92" s="31" t="s">
        <v>886</v>
      </c>
      <c r="C92" s="32" t="s">
        <v>903</v>
      </c>
      <c r="D92" s="31" t="s">
        <v>904</v>
      </c>
      <c r="E92" s="15" t="s">
        <v>42</v>
      </c>
      <c r="F92" s="16" t="s">
        <v>43</v>
      </c>
      <c r="G92" s="21"/>
      <c r="H92" s="22"/>
      <c r="I92" s="22"/>
      <c r="J92" s="16" t="s">
        <v>905</v>
      </c>
      <c r="K92" s="20" t="s">
        <v>906</v>
      </c>
      <c r="L92" s="20" t="s">
        <v>907</v>
      </c>
      <c r="M92" s="20" t="s">
        <v>908</v>
      </c>
      <c r="N92" s="20" t="s">
        <v>909</v>
      </c>
      <c r="O92" s="20" t="s">
        <v>910</v>
      </c>
    </row>
    <row r="93" ht="75.0" customHeight="1">
      <c r="A93" s="31" t="s">
        <v>111</v>
      </c>
      <c r="B93" s="31" t="s">
        <v>886</v>
      </c>
      <c r="C93" s="32" t="s">
        <v>911</v>
      </c>
      <c r="D93" s="31" t="s">
        <v>912</v>
      </c>
      <c r="E93" s="15" t="s">
        <v>42</v>
      </c>
      <c r="F93" s="16" t="s">
        <v>43</v>
      </c>
      <c r="G93" s="21"/>
      <c r="H93" s="22"/>
      <c r="I93" s="22"/>
      <c r="J93" s="16" t="s">
        <v>913</v>
      </c>
      <c r="K93" s="20" t="s">
        <v>914</v>
      </c>
      <c r="L93" s="20" t="s">
        <v>915</v>
      </c>
      <c r="M93" s="20" t="s">
        <v>916</v>
      </c>
      <c r="N93" s="20" t="s">
        <v>917</v>
      </c>
      <c r="O93" s="20" t="s">
        <v>918</v>
      </c>
    </row>
    <row r="94" ht="75.0" customHeight="1">
      <c r="A94" s="31" t="s">
        <v>111</v>
      </c>
      <c r="B94" s="31" t="s">
        <v>919</v>
      </c>
      <c r="C94" s="32" t="s">
        <v>920</v>
      </c>
      <c r="D94" s="31" t="s">
        <v>921</v>
      </c>
      <c r="E94" s="15">
        <v>3.0</v>
      </c>
      <c r="F94" s="16" t="s">
        <v>922</v>
      </c>
      <c r="G94" s="16" t="s">
        <v>288</v>
      </c>
      <c r="H94" s="15" t="s">
        <v>923</v>
      </c>
      <c r="I94" s="15">
        <v>2025.0</v>
      </c>
      <c r="J94" s="16" t="s">
        <v>924</v>
      </c>
      <c r="K94" s="20" t="s">
        <v>925</v>
      </c>
      <c r="L94" s="20" t="s">
        <v>926</v>
      </c>
      <c r="M94" s="20" t="s">
        <v>927</v>
      </c>
      <c r="N94" s="20" t="s">
        <v>928</v>
      </c>
      <c r="O94" s="20" t="s">
        <v>929</v>
      </c>
    </row>
    <row r="95" ht="75.0" customHeight="1">
      <c r="A95" s="31" t="s">
        <v>111</v>
      </c>
      <c r="B95" s="31" t="s">
        <v>919</v>
      </c>
      <c r="C95" s="32" t="s">
        <v>930</v>
      </c>
      <c r="D95" s="31" t="s">
        <v>931</v>
      </c>
      <c r="E95" s="15" t="s">
        <v>42</v>
      </c>
      <c r="F95" s="16" t="s">
        <v>43</v>
      </c>
      <c r="G95" s="21"/>
      <c r="H95" s="22"/>
      <c r="I95" s="22"/>
      <c r="J95" s="16" t="s">
        <v>932</v>
      </c>
      <c r="K95" s="20" t="s">
        <v>933</v>
      </c>
      <c r="L95" s="20" t="s">
        <v>934</v>
      </c>
      <c r="M95" s="20" t="s">
        <v>935</v>
      </c>
      <c r="N95" s="20" t="s">
        <v>936</v>
      </c>
      <c r="O95" s="20" t="s">
        <v>937</v>
      </c>
    </row>
    <row r="96" ht="75.0" customHeight="1">
      <c r="A96" s="31" t="s">
        <v>111</v>
      </c>
      <c r="B96" s="31" t="s">
        <v>919</v>
      </c>
      <c r="C96" s="32" t="s">
        <v>938</v>
      </c>
      <c r="D96" s="31" t="s">
        <v>939</v>
      </c>
      <c r="E96" s="15">
        <v>2.0</v>
      </c>
      <c r="F96" s="16" t="s">
        <v>940</v>
      </c>
      <c r="G96" s="16" t="s">
        <v>78</v>
      </c>
      <c r="H96" s="15" t="s">
        <v>941</v>
      </c>
      <c r="I96" s="15">
        <v>2025.0</v>
      </c>
      <c r="J96" s="16" t="s">
        <v>942</v>
      </c>
      <c r="K96" s="20" t="s">
        <v>943</v>
      </c>
      <c r="L96" s="20" t="s">
        <v>944</v>
      </c>
      <c r="M96" s="20" t="s">
        <v>945</v>
      </c>
      <c r="N96" s="20" t="s">
        <v>946</v>
      </c>
      <c r="O96" s="20" t="s">
        <v>947</v>
      </c>
    </row>
    <row r="97" ht="75.0" customHeight="1">
      <c r="A97" s="31" t="s">
        <v>111</v>
      </c>
      <c r="B97" s="31" t="s">
        <v>919</v>
      </c>
      <c r="C97" s="32" t="s">
        <v>948</v>
      </c>
      <c r="D97" s="31" t="s">
        <v>949</v>
      </c>
      <c r="E97" s="15">
        <v>3.0</v>
      </c>
      <c r="F97" s="16" t="s">
        <v>950</v>
      </c>
      <c r="G97" s="16" t="s">
        <v>171</v>
      </c>
      <c r="H97" s="15" t="s">
        <v>951</v>
      </c>
      <c r="I97" s="15">
        <v>2025.0</v>
      </c>
      <c r="J97" s="16" t="s">
        <v>952</v>
      </c>
      <c r="K97" s="20" t="s">
        <v>953</v>
      </c>
      <c r="L97" s="20" t="s">
        <v>954</v>
      </c>
      <c r="M97" s="20" t="s">
        <v>955</v>
      </c>
      <c r="N97" s="20" t="s">
        <v>956</v>
      </c>
      <c r="O97" s="20" t="s">
        <v>957</v>
      </c>
    </row>
    <row r="98" ht="75.0" customHeight="1">
      <c r="A98" s="31" t="s">
        <v>111</v>
      </c>
      <c r="B98" s="31" t="s">
        <v>919</v>
      </c>
      <c r="C98" s="32" t="s">
        <v>958</v>
      </c>
      <c r="D98" s="31" t="s">
        <v>959</v>
      </c>
      <c r="E98" s="15">
        <v>2.0</v>
      </c>
      <c r="F98" s="16" t="s">
        <v>960</v>
      </c>
      <c r="G98" s="16" t="s">
        <v>78</v>
      </c>
      <c r="H98" s="15" t="s">
        <v>212</v>
      </c>
      <c r="I98" s="15">
        <v>2025.0</v>
      </c>
      <c r="J98" s="16" t="s">
        <v>961</v>
      </c>
      <c r="K98" s="20" t="s">
        <v>962</v>
      </c>
      <c r="L98" s="20" t="s">
        <v>963</v>
      </c>
      <c r="M98" s="20" t="s">
        <v>964</v>
      </c>
      <c r="N98" s="20" t="s">
        <v>965</v>
      </c>
      <c r="O98" s="20" t="s">
        <v>966</v>
      </c>
    </row>
    <row r="99" ht="75.0" customHeight="1">
      <c r="A99" s="31" t="s">
        <v>111</v>
      </c>
      <c r="B99" s="31" t="s">
        <v>919</v>
      </c>
      <c r="C99" s="32" t="s">
        <v>967</v>
      </c>
      <c r="D99" s="31" t="s">
        <v>968</v>
      </c>
      <c r="E99" s="15" t="s">
        <v>42</v>
      </c>
      <c r="F99" s="16" t="s">
        <v>43</v>
      </c>
      <c r="G99" s="21"/>
      <c r="H99" s="22"/>
      <c r="I99" s="22"/>
      <c r="J99" s="16" t="s">
        <v>969</v>
      </c>
      <c r="K99" s="20" t="s">
        <v>970</v>
      </c>
      <c r="L99" s="20" t="s">
        <v>971</v>
      </c>
      <c r="M99" s="20" t="s">
        <v>972</v>
      </c>
      <c r="N99" s="20" t="s">
        <v>973</v>
      </c>
      <c r="O99" s="20" t="s">
        <v>974</v>
      </c>
    </row>
    <row r="100" ht="75.0" customHeight="1">
      <c r="A100" s="31" t="s">
        <v>111</v>
      </c>
      <c r="B100" s="31" t="s">
        <v>919</v>
      </c>
      <c r="C100" s="32" t="s">
        <v>975</v>
      </c>
      <c r="D100" s="31" t="s">
        <v>976</v>
      </c>
      <c r="E100" s="15">
        <v>3.0</v>
      </c>
      <c r="F100" s="16" t="s">
        <v>977</v>
      </c>
      <c r="G100" s="16" t="s">
        <v>978</v>
      </c>
      <c r="H100" s="15" t="s">
        <v>979</v>
      </c>
      <c r="I100" s="15">
        <v>2025.0</v>
      </c>
      <c r="J100" s="21"/>
      <c r="K100" s="20" t="s">
        <v>980</v>
      </c>
      <c r="L100" s="20" t="s">
        <v>981</v>
      </c>
      <c r="M100" s="20" t="s">
        <v>982</v>
      </c>
      <c r="N100" s="20" t="s">
        <v>983</v>
      </c>
      <c r="O100" s="20" t="s">
        <v>984</v>
      </c>
    </row>
    <row r="101" ht="75.0" customHeight="1">
      <c r="A101" s="31" t="s">
        <v>111</v>
      </c>
      <c r="B101" s="31" t="s">
        <v>919</v>
      </c>
      <c r="C101" s="32" t="s">
        <v>985</v>
      </c>
      <c r="D101" s="31" t="s">
        <v>986</v>
      </c>
      <c r="E101" s="15">
        <v>3.0</v>
      </c>
      <c r="F101" s="16" t="s">
        <v>987</v>
      </c>
      <c r="G101" s="16" t="s">
        <v>325</v>
      </c>
      <c r="H101" s="15" t="s">
        <v>988</v>
      </c>
      <c r="I101" s="15">
        <v>2025.0</v>
      </c>
      <c r="J101" s="21"/>
      <c r="K101" s="20" t="s">
        <v>989</v>
      </c>
      <c r="L101" s="20" t="s">
        <v>990</v>
      </c>
      <c r="M101" s="20" t="s">
        <v>991</v>
      </c>
      <c r="N101" s="20" t="s">
        <v>992</v>
      </c>
      <c r="O101" s="20" t="s">
        <v>993</v>
      </c>
    </row>
    <row r="102" ht="75.0" customHeight="1">
      <c r="A102" s="21" t="s">
        <v>131</v>
      </c>
      <c r="B102" s="21" t="s">
        <v>994</v>
      </c>
      <c r="C102" s="33" t="s">
        <v>995</v>
      </c>
      <c r="D102" s="21" t="s">
        <v>996</v>
      </c>
      <c r="E102" s="15">
        <v>4.0</v>
      </c>
      <c r="F102" s="16" t="s">
        <v>997</v>
      </c>
      <c r="G102" s="16" t="s">
        <v>288</v>
      </c>
      <c r="H102" s="15" t="s">
        <v>998</v>
      </c>
      <c r="I102" s="15">
        <v>2025.0</v>
      </c>
      <c r="J102" s="21"/>
      <c r="K102" s="20" t="s">
        <v>999</v>
      </c>
      <c r="L102" s="20" t="s">
        <v>1000</v>
      </c>
      <c r="M102" s="20" t="s">
        <v>1001</v>
      </c>
      <c r="N102" s="20" t="s">
        <v>1002</v>
      </c>
      <c r="O102" s="20" t="s">
        <v>1003</v>
      </c>
    </row>
    <row r="103" ht="75.0" customHeight="1">
      <c r="A103" s="21" t="s">
        <v>131</v>
      </c>
      <c r="B103" s="21" t="s">
        <v>994</v>
      </c>
      <c r="C103" s="33" t="s">
        <v>1004</v>
      </c>
      <c r="D103" s="21" t="s">
        <v>1005</v>
      </c>
      <c r="E103" s="15">
        <v>3.0</v>
      </c>
      <c r="F103" s="16" t="s">
        <v>1006</v>
      </c>
      <c r="G103" s="16" t="s">
        <v>78</v>
      </c>
      <c r="H103" s="15" t="s">
        <v>497</v>
      </c>
      <c r="I103" s="15">
        <v>2025.0</v>
      </c>
      <c r="J103" s="21"/>
      <c r="K103" s="20" t="s">
        <v>1007</v>
      </c>
      <c r="L103" s="20" t="s">
        <v>1008</v>
      </c>
      <c r="M103" s="20" t="s">
        <v>1009</v>
      </c>
      <c r="N103" s="20" t="s">
        <v>1010</v>
      </c>
      <c r="O103" s="20" t="s">
        <v>1011</v>
      </c>
    </row>
    <row r="104" ht="75.0" customHeight="1">
      <c r="A104" s="21" t="s">
        <v>131</v>
      </c>
      <c r="B104" s="21" t="s">
        <v>994</v>
      </c>
      <c r="C104" s="33" t="s">
        <v>1012</v>
      </c>
      <c r="D104" s="21" t="s">
        <v>1013</v>
      </c>
      <c r="E104" s="15">
        <v>3.0</v>
      </c>
      <c r="F104" s="16" t="s">
        <v>1014</v>
      </c>
      <c r="G104" s="16" t="s">
        <v>78</v>
      </c>
      <c r="H104" s="15" t="s">
        <v>497</v>
      </c>
      <c r="I104" s="15">
        <v>2025.0</v>
      </c>
      <c r="J104" s="16" t="s">
        <v>1015</v>
      </c>
      <c r="K104" s="20" t="s">
        <v>1016</v>
      </c>
      <c r="L104" s="20" t="s">
        <v>1017</v>
      </c>
      <c r="M104" s="20" t="s">
        <v>1018</v>
      </c>
      <c r="N104" s="20" t="s">
        <v>1019</v>
      </c>
      <c r="O104" s="20" t="s">
        <v>1020</v>
      </c>
    </row>
    <row r="105" ht="75.0" customHeight="1">
      <c r="A105" s="21" t="s">
        <v>131</v>
      </c>
      <c r="B105" s="21" t="s">
        <v>994</v>
      </c>
      <c r="C105" s="33" t="s">
        <v>1021</v>
      </c>
      <c r="D105" s="21" t="s">
        <v>1022</v>
      </c>
      <c r="E105" s="15">
        <v>2.0</v>
      </c>
      <c r="F105" s="16" t="s">
        <v>1023</v>
      </c>
      <c r="G105" s="16" t="s">
        <v>1024</v>
      </c>
      <c r="H105" s="15" t="s">
        <v>623</v>
      </c>
      <c r="I105" s="15">
        <v>2025.0</v>
      </c>
      <c r="J105" s="21"/>
      <c r="K105" s="20" t="s">
        <v>1025</v>
      </c>
      <c r="L105" s="20" t="s">
        <v>1026</v>
      </c>
      <c r="M105" s="20" t="s">
        <v>1027</v>
      </c>
      <c r="N105" s="20" t="s">
        <v>1028</v>
      </c>
      <c r="O105" s="20" t="s">
        <v>1029</v>
      </c>
    </row>
    <row r="106" ht="75.0" customHeight="1">
      <c r="A106" s="21" t="s">
        <v>131</v>
      </c>
      <c r="B106" s="21" t="s">
        <v>994</v>
      </c>
      <c r="C106" s="33" t="s">
        <v>1030</v>
      </c>
      <c r="D106" s="21" t="s">
        <v>1031</v>
      </c>
      <c r="E106" s="15">
        <v>2.0</v>
      </c>
      <c r="F106" s="16" t="s">
        <v>1032</v>
      </c>
      <c r="G106" s="16" t="s">
        <v>78</v>
      </c>
      <c r="H106" s="15" t="s">
        <v>497</v>
      </c>
      <c r="I106" s="15">
        <v>2025.0</v>
      </c>
      <c r="J106" s="16" t="s">
        <v>1033</v>
      </c>
      <c r="K106" s="20" t="s">
        <v>1034</v>
      </c>
      <c r="L106" s="20" t="s">
        <v>1035</v>
      </c>
      <c r="M106" s="20" t="s">
        <v>1036</v>
      </c>
      <c r="N106" s="20" t="s">
        <v>1037</v>
      </c>
      <c r="O106" s="20" t="s">
        <v>1038</v>
      </c>
    </row>
    <row r="107" ht="75.0" customHeight="1">
      <c r="A107" s="21" t="s">
        <v>131</v>
      </c>
      <c r="B107" s="21" t="s">
        <v>994</v>
      </c>
      <c r="C107" s="33" t="s">
        <v>1039</v>
      </c>
      <c r="D107" s="21" t="s">
        <v>1040</v>
      </c>
      <c r="E107" s="15">
        <v>4.0</v>
      </c>
      <c r="F107" s="16" t="s">
        <v>1041</v>
      </c>
      <c r="G107" s="16" t="s">
        <v>288</v>
      </c>
      <c r="H107" s="15" t="s">
        <v>1042</v>
      </c>
      <c r="I107" s="15">
        <v>2025.0</v>
      </c>
      <c r="J107" s="21"/>
      <c r="K107" s="20" t="s">
        <v>1043</v>
      </c>
      <c r="L107" s="20" t="s">
        <v>1044</v>
      </c>
      <c r="M107" s="20" t="s">
        <v>1045</v>
      </c>
      <c r="N107" s="20" t="s">
        <v>1046</v>
      </c>
      <c r="O107" s="20" t="s">
        <v>1047</v>
      </c>
    </row>
    <row r="108" ht="75.0" customHeight="1">
      <c r="A108" s="21" t="s">
        <v>131</v>
      </c>
      <c r="B108" s="21" t="s">
        <v>1048</v>
      </c>
      <c r="C108" s="33" t="s">
        <v>1049</v>
      </c>
      <c r="D108" s="21" t="s">
        <v>1050</v>
      </c>
      <c r="E108" s="15">
        <v>2.0</v>
      </c>
      <c r="F108" s="16" t="s">
        <v>1051</v>
      </c>
      <c r="G108" s="16" t="s">
        <v>325</v>
      </c>
      <c r="H108" s="15" t="s">
        <v>1052</v>
      </c>
      <c r="I108" s="15">
        <v>2025.0</v>
      </c>
      <c r="J108" s="16" t="s">
        <v>1053</v>
      </c>
      <c r="K108" s="20" t="s">
        <v>1054</v>
      </c>
      <c r="L108" s="20" t="s">
        <v>1055</v>
      </c>
      <c r="M108" s="20" t="s">
        <v>1056</v>
      </c>
      <c r="N108" s="20" t="s">
        <v>1057</v>
      </c>
      <c r="O108" s="20" t="s">
        <v>1058</v>
      </c>
    </row>
    <row r="109" ht="75.0" customHeight="1">
      <c r="A109" s="21" t="s">
        <v>131</v>
      </c>
      <c r="B109" s="21" t="s">
        <v>1048</v>
      </c>
      <c r="C109" s="33" t="s">
        <v>1059</v>
      </c>
      <c r="D109" s="21" t="s">
        <v>1060</v>
      </c>
      <c r="E109" s="15" t="s">
        <v>42</v>
      </c>
      <c r="F109" s="16" t="s">
        <v>43</v>
      </c>
      <c r="G109" s="21"/>
      <c r="H109" s="22"/>
      <c r="I109" s="22"/>
      <c r="J109" s="16" t="s">
        <v>1061</v>
      </c>
      <c r="K109" s="20" t="s">
        <v>1062</v>
      </c>
      <c r="L109" s="20" t="s">
        <v>1063</v>
      </c>
      <c r="M109" s="20" t="s">
        <v>1064</v>
      </c>
      <c r="N109" s="20" t="s">
        <v>1065</v>
      </c>
      <c r="O109" s="20" t="s">
        <v>1066</v>
      </c>
    </row>
    <row r="110" ht="75.0" customHeight="1">
      <c r="A110" s="21" t="s">
        <v>131</v>
      </c>
      <c r="B110" s="21" t="s">
        <v>1048</v>
      </c>
      <c r="C110" s="33" t="s">
        <v>1067</v>
      </c>
      <c r="D110" s="21" t="s">
        <v>1068</v>
      </c>
      <c r="E110" s="15">
        <v>3.0</v>
      </c>
      <c r="F110" s="16" t="s">
        <v>1069</v>
      </c>
      <c r="G110" s="16" t="s">
        <v>1070</v>
      </c>
      <c r="H110" s="15" t="s">
        <v>1071</v>
      </c>
      <c r="I110" s="15">
        <v>2025.0</v>
      </c>
      <c r="J110" s="21"/>
      <c r="K110" s="20" t="s">
        <v>1072</v>
      </c>
      <c r="L110" s="20" t="s">
        <v>1073</v>
      </c>
      <c r="M110" s="20" t="s">
        <v>1074</v>
      </c>
      <c r="N110" s="20" t="s">
        <v>1075</v>
      </c>
      <c r="O110" s="20" t="s">
        <v>1076</v>
      </c>
    </row>
    <row r="111" ht="75.0" customHeight="1">
      <c r="A111" s="21" t="s">
        <v>131</v>
      </c>
      <c r="B111" s="21" t="s">
        <v>1048</v>
      </c>
      <c r="C111" s="33" t="s">
        <v>1077</v>
      </c>
      <c r="D111" s="21" t="s">
        <v>1078</v>
      </c>
      <c r="E111" s="15">
        <v>3.0</v>
      </c>
      <c r="F111" s="16" t="s">
        <v>1079</v>
      </c>
      <c r="G111" s="16" t="s">
        <v>171</v>
      </c>
      <c r="H111" s="15" t="s">
        <v>1080</v>
      </c>
      <c r="I111" s="15">
        <v>2025.0</v>
      </c>
      <c r="J111" s="21"/>
      <c r="K111" s="20" t="s">
        <v>1081</v>
      </c>
      <c r="L111" s="20" t="s">
        <v>1082</v>
      </c>
      <c r="M111" s="20" t="s">
        <v>1083</v>
      </c>
      <c r="N111" s="20" t="s">
        <v>1084</v>
      </c>
      <c r="O111" s="20" t="s">
        <v>1085</v>
      </c>
    </row>
    <row r="112" ht="75.0" customHeight="1">
      <c r="A112" s="21" t="s">
        <v>131</v>
      </c>
      <c r="B112" s="21" t="s">
        <v>1048</v>
      </c>
      <c r="C112" s="33" t="s">
        <v>1086</v>
      </c>
      <c r="D112" s="21" t="s">
        <v>1087</v>
      </c>
      <c r="E112" s="15">
        <v>4.0</v>
      </c>
      <c r="F112" s="16" t="s">
        <v>1088</v>
      </c>
      <c r="G112" s="16" t="s">
        <v>171</v>
      </c>
      <c r="H112" s="15" t="s">
        <v>1089</v>
      </c>
      <c r="I112" s="15">
        <v>2025.0</v>
      </c>
      <c r="J112" s="21"/>
      <c r="K112" s="20" t="s">
        <v>1090</v>
      </c>
      <c r="L112" s="20" t="s">
        <v>1091</v>
      </c>
      <c r="M112" s="20" t="s">
        <v>1092</v>
      </c>
      <c r="N112" s="20" t="s">
        <v>1093</v>
      </c>
      <c r="O112" s="20" t="s">
        <v>1094</v>
      </c>
    </row>
    <row r="113" ht="75.0" customHeight="1">
      <c r="A113" s="21" t="s">
        <v>131</v>
      </c>
      <c r="B113" s="21" t="s">
        <v>1048</v>
      </c>
      <c r="C113" s="33" t="s">
        <v>1095</v>
      </c>
      <c r="D113" s="21" t="s">
        <v>1096</v>
      </c>
      <c r="E113" s="15">
        <v>4.0</v>
      </c>
      <c r="F113" s="16" t="s">
        <v>1097</v>
      </c>
      <c r="G113" s="16" t="s">
        <v>288</v>
      </c>
      <c r="H113" s="15" t="s">
        <v>1098</v>
      </c>
      <c r="I113" s="15">
        <v>2025.0</v>
      </c>
      <c r="J113" s="21"/>
      <c r="K113" s="20" t="s">
        <v>1099</v>
      </c>
      <c r="L113" s="20" t="s">
        <v>1100</v>
      </c>
      <c r="M113" s="20" t="s">
        <v>1101</v>
      </c>
      <c r="N113" s="20" t="s">
        <v>1102</v>
      </c>
      <c r="O113" s="20" t="s">
        <v>1103</v>
      </c>
    </row>
    <row r="114" ht="75.0" customHeight="1">
      <c r="A114" s="21" t="s">
        <v>131</v>
      </c>
      <c r="B114" s="21" t="s">
        <v>1048</v>
      </c>
      <c r="C114" s="33" t="s">
        <v>1104</v>
      </c>
      <c r="D114" s="21" t="s">
        <v>1105</v>
      </c>
      <c r="E114" s="15">
        <v>3.0</v>
      </c>
      <c r="F114" s="16" t="s">
        <v>1106</v>
      </c>
      <c r="G114" s="16" t="s">
        <v>1107</v>
      </c>
      <c r="H114" s="15" t="s">
        <v>1108</v>
      </c>
      <c r="I114" s="15">
        <v>2025.0</v>
      </c>
      <c r="J114" s="16" t="s">
        <v>1109</v>
      </c>
      <c r="K114" s="20" t="s">
        <v>1110</v>
      </c>
      <c r="L114" s="20" t="s">
        <v>1111</v>
      </c>
      <c r="M114" s="20" t="s">
        <v>1112</v>
      </c>
      <c r="N114" s="20" t="s">
        <v>1113</v>
      </c>
      <c r="O114" s="20" t="s">
        <v>1114</v>
      </c>
    </row>
    <row r="115" ht="75.0" customHeight="1">
      <c r="A115" s="21" t="s">
        <v>131</v>
      </c>
      <c r="B115" s="21" t="s">
        <v>1048</v>
      </c>
      <c r="C115" s="33" t="s">
        <v>1115</v>
      </c>
      <c r="D115" s="21" t="s">
        <v>1116</v>
      </c>
      <c r="E115" s="15">
        <v>4.0</v>
      </c>
      <c r="F115" s="16" t="s">
        <v>1117</v>
      </c>
      <c r="G115" s="16" t="s">
        <v>78</v>
      </c>
      <c r="H115" s="15" t="s">
        <v>497</v>
      </c>
      <c r="I115" s="15">
        <v>2025.0</v>
      </c>
      <c r="J115" s="21"/>
      <c r="K115" s="20" t="s">
        <v>1118</v>
      </c>
      <c r="L115" s="20" t="s">
        <v>1119</v>
      </c>
      <c r="M115" s="20" t="s">
        <v>1120</v>
      </c>
      <c r="N115" s="20" t="s">
        <v>1121</v>
      </c>
      <c r="O115" s="20" t="s">
        <v>1122</v>
      </c>
    </row>
    <row r="116" ht="75.0" customHeight="1">
      <c r="A116" s="21" t="s">
        <v>131</v>
      </c>
      <c r="B116" s="21" t="s">
        <v>1123</v>
      </c>
      <c r="C116" s="33" t="s">
        <v>1124</v>
      </c>
      <c r="D116" s="21" t="s">
        <v>1125</v>
      </c>
      <c r="E116" s="15">
        <v>3.0</v>
      </c>
      <c r="F116" s="16" t="s">
        <v>1126</v>
      </c>
      <c r="G116" s="16" t="s">
        <v>171</v>
      </c>
      <c r="H116" s="15" t="s">
        <v>1127</v>
      </c>
      <c r="I116" s="15">
        <v>2025.0</v>
      </c>
      <c r="J116" s="21"/>
      <c r="K116" s="20" t="s">
        <v>1128</v>
      </c>
      <c r="L116" s="20" t="s">
        <v>1129</v>
      </c>
      <c r="M116" s="20" t="s">
        <v>1130</v>
      </c>
      <c r="N116" s="20" t="s">
        <v>1131</v>
      </c>
      <c r="O116" s="20" t="s">
        <v>1132</v>
      </c>
    </row>
    <row r="117" ht="75.0" customHeight="1">
      <c r="A117" s="21" t="s">
        <v>131</v>
      </c>
      <c r="B117" s="21" t="s">
        <v>1123</v>
      </c>
      <c r="C117" s="33" t="s">
        <v>1133</v>
      </c>
      <c r="D117" s="21" t="s">
        <v>1134</v>
      </c>
      <c r="E117" s="15">
        <v>4.0</v>
      </c>
      <c r="F117" s="16" t="s">
        <v>1135</v>
      </c>
      <c r="G117" s="16" t="s">
        <v>1136</v>
      </c>
      <c r="H117" s="15" t="s">
        <v>518</v>
      </c>
      <c r="I117" s="15">
        <v>2025.0</v>
      </c>
      <c r="J117" s="21"/>
      <c r="K117" s="20" t="s">
        <v>1137</v>
      </c>
      <c r="L117" s="20" t="s">
        <v>1138</v>
      </c>
      <c r="M117" s="20" t="s">
        <v>1139</v>
      </c>
      <c r="N117" s="20" t="s">
        <v>1140</v>
      </c>
      <c r="O117" s="20" t="s">
        <v>1141</v>
      </c>
    </row>
    <row r="118" ht="75.0" customHeight="1">
      <c r="A118" s="21" t="s">
        <v>131</v>
      </c>
      <c r="B118" s="21" t="s">
        <v>1123</v>
      </c>
      <c r="C118" s="33" t="s">
        <v>1142</v>
      </c>
      <c r="D118" s="21" t="s">
        <v>1143</v>
      </c>
      <c r="E118" s="15" t="s">
        <v>42</v>
      </c>
      <c r="F118" s="16" t="s">
        <v>43</v>
      </c>
      <c r="G118" s="21"/>
      <c r="H118" s="22"/>
      <c r="I118" s="22"/>
      <c r="J118" s="16" t="s">
        <v>1144</v>
      </c>
      <c r="K118" s="20" t="s">
        <v>1145</v>
      </c>
      <c r="L118" s="20" t="s">
        <v>1146</v>
      </c>
      <c r="M118" s="20" t="s">
        <v>1147</v>
      </c>
      <c r="N118" s="20" t="s">
        <v>1148</v>
      </c>
      <c r="O118" s="20" t="s">
        <v>1149</v>
      </c>
    </row>
    <row r="119" ht="75.0" customHeight="1">
      <c r="A119" s="21" t="s">
        <v>131</v>
      </c>
      <c r="B119" s="21" t="s">
        <v>1123</v>
      </c>
      <c r="C119" s="33" t="s">
        <v>1150</v>
      </c>
      <c r="D119" s="21" t="s">
        <v>1151</v>
      </c>
      <c r="E119" s="15">
        <v>2.0</v>
      </c>
      <c r="F119" s="16" t="s">
        <v>1152</v>
      </c>
      <c r="G119" s="16" t="s">
        <v>78</v>
      </c>
      <c r="H119" s="15" t="s">
        <v>368</v>
      </c>
      <c r="I119" s="15">
        <v>2025.0</v>
      </c>
      <c r="J119" s="16" t="s">
        <v>1153</v>
      </c>
      <c r="K119" s="20" t="s">
        <v>1154</v>
      </c>
      <c r="L119" s="20" t="s">
        <v>1155</v>
      </c>
      <c r="M119" s="20" t="s">
        <v>1156</v>
      </c>
      <c r="N119" s="20" t="s">
        <v>1157</v>
      </c>
      <c r="O119" s="20" t="s">
        <v>1158</v>
      </c>
    </row>
    <row r="120" ht="75.0" customHeight="1">
      <c r="A120" s="21" t="s">
        <v>131</v>
      </c>
      <c r="B120" s="21" t="s">
        <v>1123</v>
      </c>
      <c r="C120" s="33" t="s">
        <v>1159</v>
      </c>
      <c r="D120" s="21" t="s">
        <v>1160</v>
      </c>
      <c r="E120" s="15">
        <v>3.0</v>
      </c>
      <c r="F120" s="16" t="s">
        <v>1161</v>
      </c>
      <c r="G120" s="16" t="s">
        <v>325</v>
      </c>
      <c r="H120" s="15" t="s">
        <v>1162</v>
      </c>
      <c r="I120" s="15">
        <v>2025.0</v>
      </c>
      <c r="J120" s="21"/>
      <c r="K120" s="20" t="s">
        <v>1163</v>
      </c>
      <c r="L120" s="20" t="s">
        <v>1164</v>
      </c>
      <c r="M120" s="20" t="s">
        <v>1165</v>
      </c>
      <c r="N120" s="20" t="s">
        <v>1166</v>
      </c>
      <c r="O120" s="20" t="s">
        <v>1167</v>
      </c>
    </row>
    <row r="121" ht="75.0" customHeight="1">
      <c r="A121" s="21" t="s">
        <v>131</v>
      </c>
      <c r="B121" s="21" t="s">
        <v>1123</v>
      </c>
      <c r="C121" s="33" t="s">
        <v>1168</v>
      </c>
      <c r="D121" s="21" t="s">
        <v>1169</v>
      </c>
      <c r="E121" s="15">
        <v>3.0</v>
      </c>
      <c r="F121" s="16" t="s">
        <v>1170</v>
      </c>
      <c r="G121" s="16" t="s">
        <v>1171</v>
      </c>
      <c r="H121" s="15" t="s">
        <v>1172</v>
      </c>
      <c r="I121" s="15">
        <v>2025.0</v>
      </c>
      <c r="J121" s="21"/>
      <c r="K121" s="20" t="s">
        <v>1173</v>
      </c>
      <c r="L121" s="20" t="s">
        <v>1174</v>
      </c>
      <c r="M121" s="20" t="s">
        <v>1175</v>
      </c>
      <c r="N121" s="20" t="s">
        <v>1176</v>
      </c>
      <c r="O121" s="20" t="s">
        <v>1177</v>
      </c>
    </row>
    <row r="122" ht="75.0" customHeight="1">
      <c r="A122" s="21" t="s">
        <v>131</v>
      </c>
      <c r="B122" s="21" t="s">
        <v>1123</v>
      </c>
      <c r="C122" s="33" t="s">
        <v>1178</v>
      </c>
      <c r="D122" s="21" t="s">
        <v>1179</v>
      </c>
      <c r="E122" s="15">
        <v>2.0</v>
      </c>
      <c r="F122" s="16" t="s">
        <v>1180</v>
      </c>
      <c r="G122" s="16" t="s">
        <v>1024</v>
      </c>
      <c r="H122" s="15" t="s">
        <v>1181</v>
      </c>
      <c r="I122" s="15">
        <v>2025.0</v>
      </c>
      <c r="J122" s="21"/>
      <c r="K122" s="20" t="s">
        <v>1182</v>
      </c>
      <c r="L122" s="20" t="s">
        <v>1183</v>
      </c>
      <c r="M122" s="20" t="s">
        <v>1184</v>
      </c>
      <c r="N122" s="20" t="s">
        <v>1185</v>
      </c>
      <c r="O122" s="20" t="s">
        <v>1186</v>
      </c>
    </row>
    <row r="123" ht="75.0" customHeight="1">
      <c r="A123" s="21" t="s">
        <v>131</v>
      </c>
      <c r="B123" s="21" t="s">
        <v>1123</v>
      </c>
      <c r="C123" s="33" t="s">
        <v>1187</v>
      </c>
      <c r="D123" s="21" t="s">
        <v>1188</v>
      </c>
      <c r="E123" s="15">
        <v>3.0</v>
      </c>
      <c r="F123" s="16" t="s">
        <v>1189</v>
      </c>
      <c r="G123" s="16" t="s">
        <v>171</v>
      </c>
      <c r="H123" s="15" t="s">
        <v>1190</v>
      </c>
      <c r="I123" s="15">
        <v>2025.0</v>
      </c>
      <c r="J123" s="21"/>
      <c r="K123" s="20" t="s">
        <v>1191</v>
      </c>
      <c r="L123" s="20" t="s">
        <v>1192</v>
      </c>
      <c r="M123" s="20" t="s">
        <v>1193</v>
      </c>
      <c r="N123" s="20" t="s">
        <v>1194</v>
      </c>
      <c r="O123" s="20" t="s">
        <v>1195</v>
      </c>
    </row>
    <row r="124" ht="75.0" customHeight="1">
      <c r="A124" s="34" t="s">
        <v>138</v>
      </c>
      <c r="B124" s="34" t="s">
        <v>1196</v>
      </c>
      <c r="C124" s="35" t="s">
        <v>1197</v>
      </c>
      <c r="D124" s="34" t="s">
        <v>1198</v>
      </c>
      <c r="E124" s="15" t="s">
        <v>42</v>
      </c>
      <c r="F124" s="16" t="s">
        <v>43</v>
      </c>
      <c r="G124" s="21"/>
      <c r="H124" s="22"/>
      <c r="I124" s="22"/>
      <c r="J124" s="16" t="s">
        <v>1199</v>
      </c>
      <c r="K124" s="20" t="s">
        <v>1200</v>
      </c>
      <c r="L124" s="20" t="s">
        <v>1201</v>
      </c>
      <c r="M124" s="20" t="s">
        <v>1202</v>
      </c>
      <c r="N124" s="20" t="s">
        <v>1203</v>
      </c>
      <c r="O124" s="20" t="s">
        <v>1204</v>
      </c>
    </row>
    <row r="125" ht="75.0" customHeight="1">
      <c r="A125" s="34" t="s">
        <v>138</v>
      </c>
      <c r="B125" s="34" t="s">
        <v>1196</v>
      </c>
      <c r="C125" s="35" t="s">
        <v>1205</v>
      </c>
      <c r="D125" s="34" t="s">
        <v>1206</v>
      </c>
      <c r="E125" s="15">
        <v>2.0</v>
      </c>
      <c r="F125" s="16" t="s">
        <v>1207</v>
      </c>
      <c r="G125" s="16" t="s">
        <v>1208</v>
      </c>
      <c r="H125" s="15" t="s">
        <v>1209</v>
      </c>
      <c r="I125" s="15">
        <v>2025.0</v>
      </c>
      <c r="J125" s="21"/>
      <c r="K125" s="20" t="s">
        <v>1210</v>
      </c>
      <c r="L125" s="20" t="s">
        <v>1211</v>
      </c>
      <c r="M125" s="20" t="s">
        <v>1212</v>
      </c>
      <c r="N125" s="20" t="s">
        <v>1213</v>
      </c>
      <c r="O125" s="20" t="s">
        <v>1214</v>
      </c>
    </row>
    <row r="126" ht="75.0" customHeight="1">
      <c r="A126" s="34" t="s">
        <v>138</v>
      </c>
      <c r="B126" s="34" t="s">
        <v>1196</v>
      </c>
      <c r="C126" s="35" t="s">
        <v>1215</v>
      </c>
      <c r="D126" s="34" t="s">
        <v>1216</v>
      </c>
      <c r="E126" s="15" t="s">
        <v>42</v>
      </c>
      <c r="F126" s="16" t="s">
        <v>43</v>
      </c>
      <c r="G126" s="21"/>
      <c r="H126" s="22"/>
      <c r="I126" s="22"/>
      <c r="J126" s="16" t="s">
        <v>1217</v>
      </c>
      <c r="K126" s="20" t="s">
        <v>1218</v>
      </c>
      <c r="L126" s="20" t="s">
        <v>1219</v>
      </c>
      <c r="M126" s="20" t="s">
        <v>1220</v>
      </c>
      <c r="N126" s="20" t="s">
        <v>1221</v>
      </c>
      <c r="O126" s="20" t="s">
        <v>1222</v>
      </c>
    </row>
    <row r="127" ht="75.0" customHeight="1">
      <c r="A127" s="34" t="s">
        <v>138</v>
      </c>
      <c r="B127" s="34" t="s">
        <v>1196</v>
      </c>
      <c r="C127" s="35" t="s">
        <v>1223</v>
      </c>
      <c r="D127" s="34" t="s">
        <v>1224</v>
      </c>
      <c r="E127" s="15">
        <v>3.0</v>
      </c>
      <c r="F127" s="16" t="s">
        <v>1225</v>
      </c>
      <c r="G127" s="16" t="s">
        <v>78</v>
      </c>
      <c r="H127" s="15" t="s">
        <v>271</v>
      </c>
      <c r="I127" s="15">
        <v>2025.0</v>
      </c>
      <c r="J127" s="21"/>
      <c r="K127" s="20" t="s">
        <v>1226</v>
      </c>
      <c r="L127" s="20" t="s">
        <v>1227</v>
      </c>
      <c r="M127" s="20" t="s">
        <v>1228</v>
      </c>
      <c r="N127" s="20" t="s">
        <v>1229</v>
      </c>
      <c r="O127" s="20" t="s">
        <v>1230</v>
      </c>
    </row>
    <row r="128" ht="75.0" customHeight="1">
      <c r="A128" s="34" t="s">
        <v>138</v>
      </c>
      <c r="B128" s="34" t="s">
        <v>1196</v>
      </c>
      <c r="C128" s="35" t="s">
        <v>1231</v>
      </c>
      <c r="D128" s="34" t="s">
        <v>1232</v>
      </c>
      <c r="E128" s="15">
        <v>2.0</v>
      </c>
      <c r="F128" s="16" t="s">
        <v>1233</v>
      </c>
      <c r="G128" s="16" t="s">
        <v>690</v>
      </c>
      <c r="H128" s="15" t="s">
        <v>1234</v>
      </c>
      <c r="I128" s="15">
        <v>2025.0</v>
      </c>
      <c r="J128" s="16" t="s">
        <v>1235</v>
      </c>
      <c r="K128" s="20" t="s">
        <v>1236</v>
      </c>
      <c r="L128" s="20" t="s">
        <v>1237</v>
      </c>
      <c r="M128" s="20" t="s">
        <v>1238</v>
      </c>
      <c r="N128" s="20" t="s">
        <v>1239</v>
      </c>
      <c r="O128" s="20" t="s">
        <v>1240</v>
      </c>
    </row>
    <row r="129" ht="75.0" customHeight="1">
      <c r="A129" s="34" t="s">
        <v>138</v>
      </c>
      <c r="B129" s="34" t="s">
        <v>1196</v>
      </c>
      <c r="C129" s="35" t="s">
        <v>1241</v>
      </c>
      <c r="D129" s="34" t="s">
        <v>1242</v>
      </c>
      <c r="E129" s="15">
        <v>3.0</v>
      </c>
      <c r="F129" s="16" t="s">
        <v>1243</v>
      </c>
      <c r="G129" s="16" t="s">
        <v>1208</v>
      </c>
      <c r="H129" s="15" t="s">
        <v>431</v>
      </c>
      <c r="I129" s="15">
        <v>2025.0</v>
      </c>
      <c r="J129" s="16" t="s">
        <v>1244</v>
      </c>
      <c r="K129" s="20" t="s">
        <v>1245</v>
      </c>
      <c r="L129" s="20" t="s">
        <v>1246</v>
      </c>
      <c r="M129" s="20" t="s">
        <v>1247</v>
      </c>
      <c r="N129" s="20" t="s">
        <v>1248</v>
      </c>
      <c r="O129" s="20" t="s">
        <v>1249</v>
      </c>
    </row>
    <row r="130" ht="75.0" customHeight="1">
      <c r="A130" s="34" t="s">
        <v>138</v>
      </c>
      <c r="B130" s="34" t="s">
        <v>1196</v>
      </c>
      <c r="C130" s="35" t="s">
        <v>1250</v>
      </c>
      <c r="D130" s="34" t="s">
        <v>1251</v>
      </c>
      <c r="E130" s="15">
        <v>3.0</v>
      </c>
      <c r="F130" s="16" t="s">
        <v>1252</v>
      </c>
      <c r="G130" s="16" t="s">
        <v>1208</v>
      </c>
      <c r="H130" s="15" t="s">
        <v>1253</v>
      </c>
      <c r="I130" s="15">
        <v>2025.0</v>
      </c>
      <c r="J130" s="21"/>
      <c r="K130" s="20" t="s">
        <v>1254</v>
      </c>
      <c r="L130" s="20" t="s">
        <v>1255</v>
      </c>
      <c r="M130" s="20" t="s">
        <v>1256</v>
      </c>
      <c r="N130" s="20" t="s">
        <v>1257</v>
      </c>
      <c r="O130" s="20" t="s">
        <v>1258</v>
      </c>
    </row>
    <row r="131" ht="75.0" customHeight="1">
      <c r="A131" s="34" t="s">
        <v>138</v>
      </c>
      <c r="B131" s="34" t="s">
        <v>1196</v>
      </c>
      <c r="C131" s="35" t="s">
        <v>1259</v>
      </c>
      <c r="D131" s="34" t="s">
        <v>1260</v>
      </c>
      <c r="E131" s="15">
        <v>2.0</v>
      </c>
      <c r="F131" s="16" t="s">
        <v>1261</v>
      </c>
      <c r="G131" s="16" t="s">
        <v>78</v>
      </c>
      <c r="H131" s="15" t="s">
        <v>271</v>
      </c>
      <c r="I131" s="15">
        <v>2025.0</v>
      </c>
      <c r="J131" s="21"/>
      <c r="K131" s="20" t="s">
        <v>1262</v>
      </c>
      <c r="L131" s="20" t="s">
        <v>1263</v>
      </c>
      <c r="M131" s="20" t="s">
        <v>1264</v>
      </c>
      <c r="N131" s="20" t="s">
        <v>1265</v>
      </c>
      <c r="O131" s="20" t="s">
        <v>1266</v>
      </c>
    </row>
    <row r="132" ht="75.0" customHeight="1">
      <c r="A132" s="34" t="s">
        <v>138</v>
      </c>
      <c r="B132" s="34" t="s">
        <v>1267</v>
      </c>
      <c r="C132" s="35" t="s">
        <v>1268</v>
      </c>
      <c r="D132" s="34" t="s">
        <v>1269</v>
      </c>
      <c r="E132" s="15" t="s">
        <v>42</v>
      </c>
      <c r="F132" s="16" t="s">
        <v>43</v>
      </c>
      <c r="G132" s="21"/>
      <c r="H132" s="22"/>
      <c r="I132" s="22"/>
      <c r="J132" s="16" t="s">
        <v>1270</v>
      </c>
      <c r="K132" s="20" t="s">
        <v>1271</v>
      </c>
      <c r="L132" s="20" t="s">
        <v>1272</v>
      </c>
      <c r="M132" s="20" t="s">
        <v>1273</v>
      </c>
      <c r="N132" s="20" t="s">
        <v>1274</v>
      </c>
      <c r="O132" s="20" t="s">
        <v>1275</v>
      </c>
    </row>
    <row r="133" ht="75.0" customHeight="1">
      <c r="A133" s="34" t="s">
        <v>138</v>
      </c>
      <c r="B133" s="34" t="s">
        <v>1267</v>
      </c>
      <c r="C133" s="35" t="s">
        <v>1276</v>
      </c>
      <c r="D133" s="34" t="s">
        <v>1277</v>
      </c>
      <c r="E133" s="15" t="s">
        <v>42</v>
      </c>
      <c r="F133" s="16" t="s">
        <v>43</v>
      </c>
      <c r="G133" s="21"/>
      <c r="H133" s="22"/>
      <c r="I133" s="22"/>
      <c r="J133" s="16" t="s">
        <v>1278</v>
      </c>
      <c r="K133" s="20" t="s">
        <v>1279</v>
      </c>
      <c r="L133" s="20" t="s">
        <v>1280</v>
      </c>
      <c r="M133" s="20" t="s">
        <v>1281</v>
      </c>
      <c r="N133" s="20" t="s">
        <v>1282</v>
      </c>
      <c r="O133" s="20" t="s">
        <v>1283</v>
      </c>
    </row>
    <row r="134" ht="75.0" customHeight="1">
      <c r="A134" s="34" t="s">
        <v>138</v>
      </c>
      <c r="B134" s="34" t="s">
        <v>1267</v>
      </c>
      <c r="C134" s="35" t="s">
        <v>1284</v>
      </c>
      <c r="D134" s="34" t="s">
        <v>1285</v>
      </c>
      <c r="E134" s="15" t="s">
        <v>42</v>
      </c>
      <c r="F134" s="16" t="s">
        <v>43</v>
      </c>
      <c r="G134" s="21"/>
      <c r="H134" s="22"/>
      <c r="I134" s="22"/>
      <c r="J134" s="16" t="s">
        <v>1286</v>
      </c>
      <c r="K134" s="20" t="s">
        <v>1287</v>
      </c>
      <c r="L134" s="20" t="s">
        <v>1288</v>
      </c>
      <c r="M134" s="20" t="s">
        <v>1289</v>
      </c>
      <c r="N134" s="20" t="s">
        <v>1290</v>
      </c>
      <c r="O134" s="20" t="s">
        <v>1291</v>
      </c>
    </row>
    <row r="135" ht="75.0" customHeight="1">
      <c r="A135" s="34" t="s">
        <v>138</v>
      </c>
      <c r="B135" s="34" t="s">
        <v>1267</v>
      </c>
      <c r="C135" s="35" t="s">
        <v>1292</v>
      </c>
      <c r="D135" s="34" t="s">
        <v>1293</v>
      </c>
      <c r="E135" s="15" t="s">
        <v>42</v>
      </c>
      <c r="F135" s="16" t="s">
        <v>43</v>
      </c>
      <c r="G135" s="21"/>
      <c r="H135" s="22"/>
      <c r="I135" s="22"/>
      <c r="J135" s="16" t="s">
        <v>1294</v>
      </c>
      <c r="K135" s="20" t="s">
        <v>1295</v>
      </c>
      <c r="L135" s="20" t="s">
        <v>1296</v>
      </c>
      <c r="M135" s="20" t="s">
        <v>1297</v>
      </c>
      <c r="N135" s="20" t="s">
        <v>1298</v>
      </c>
      <c r="O135" s="20" t="s">
        <v>1299</v>
      </c>
    </row>
    <row r="136" ht="75.0" customHeight="1">
      <c r="A136" s="34" t="s">
        <v>138</v>
      </c>
      <c r="B136" s="34" t="s">
        <v>1267</v>
      </c>
      <c r="C136" s="35" t="s">
        <v>1300</v>
      </c>
      <c r="D136" s="34" t="s">
        <v>1301</v>
      </c>
      <c r="E136" s="15">
        <v>3.0</v>
      </c>
      <c r="F136" s="16" t="s">
        <v>1302</v>
      </c>
      <c r="G136" s="16" t="s">
        <v>1303</v>
      </c>
      <c r="H136" s="15" t="s">
        <v>348</v>
      </c>
      <c r="I136" s="15">
        <v>2025.0</v>
      </c>
      <c r="J136" s="21"/>
      <c r="K136" s="20" t="s">
        <v>1304</v>
      </c>
      <c r="L136" s="20" t="s">
        <v>1305</v>
      </c>
      <c r="M136" s="20" t="s">
        <v>1306</v>
      </c>
      <c r="N136" s="20" t="s">
        <v>1307</v>
      </c>
      <c r="O136" s="20" t="s">
        <v>1308</v>
      </c>
    </row>
    <row r="137" ht="75.0" customHeight="1">
      <c r="A137" s="34" t="s">
        <v>138</v>
      </c>
      <c r="B137" s="34" t="s">
        <v>1267</v>
      </c>
      <c r="C137" s="35" t="s">
        <v>1309</v>
      </c>
      <c r="D137" s="34" t="s">
        <v>1310</v>
      </c>
      <c r="E137" s="15">
        <v>3.0</v>
      </c>
      <c r="F137" s="16" t="s">
        <v>1311</v>
      </c>
      <c r="G137" s="16" t="s">
        <v>1312</v>
      </c>
      <c r="H137" s="15" t="s">
        <v>348</v>
      </c>
      <c r="I137" s="15">
        <v>2025.0</v>
      </c>
      <c r="J137" s="21"/>
      <c r="K137" s="20" t="s">
        <v>1313</v>
      </c>
      <c r="L137" s="20" t="s">
        <v>1314</v>
      </c>
      <c r="M137" s="20" t="s">
        <v>1315</v>
      </c>
      <c r="N137" s="20" t="s">
        <v>1316</v>
      </c>
      <c r="O137" s="20" t="s">
        <v>1317</v>
      </c>
    </row>
    <row r="138" ht="75.0" customHeight="1">
      <c r="A138" s="34" t="s">
        <v>138</v>
      </c>
      <c r="B138" s="34" t="s">
        <v>1267</v>
      </c>
      <c r="C138" s="35" t="s">
        <v>1318</v>
      </c>
      <c r="D138" s="34" t="s">
        <v>1319</v>
      </c>
      <c r="E138" s="15" t="s">
        <v>42</v>
      </c>
      <c r="F138" s="16" t="s">
        <v>43</v>
      </c>
      <c r="G138" s="21"/>
      <c r="H138" s="22"/>
      <c r="I138" s="22"/>
      <c r="J138" s="16" t="s">
        <v>1320</v>
      </c>
      <c r="K138" s="20" t="s">
        <v>1321</v>
      </c>
      <c r="L138" s="20" t="s">
        <v>1322</v>
      </c>
      <c r="M138" s="20" t="s">
        <v>1323</v>
      </c>
      <c r="N138" s="20" t="s">
        <v>1324</v>
      </c>
      <c r="O138" s="20" t="s">
        <v>1325</v>
      </c>
    </row>
    <row r="139" ht="75.0" customHeight="1">
      <c r="A139" s="34" t="s">
        <v>138</v>
      </c>
      <c r="B139" s="34" t="s">
        <v>1326</v>
      </c>
      <c r="C139" s="35" t="s">
        <v>1327</v>
      </c>
      <c r="D139" s="34" t="s">
        <v>1328</v>
      </c>
      <c r="E139" s="15">
        <v>2.0</v>
      </c>
      <c r="F139" s="16" t="s">
        <v>1329</v>
      </c>
      <c r="G139" s="16" t="s">
        <v>802</v>
      </c>
      <c r="H139" s="15" t="s">
        <v>1330</v>
      </c>
      <c r="I139" s="15">
        <v>2025.0</v>
      </c>
      <c r="J139" s="21"/>
      <c r="K139" s="20" t="s">
        <v>1331</v>
      </c>
      <c r="L139" s="20" t="s">
        <v>1332</v>
      </c>
      <c r="M139" s="20" t="s">
        <v>1333</v>
      </c>
      <c r="N139" s="20" t="s">
        <v>1334</v>
      </c>
      <c r="O139" s="20" t="s">
        <v>1335</v>
      </c>
    </row>
    <row r="140" ht="75.0" customHeight="1">
      <c r="A140" s="34" t="s">
        <v>138</v>
      </c>
      <c r="B140" s="34" t="s">
        <v>1326</v>
      </c>
      <c r="C140" s="35" t="s">
        <v>1336</v>
      </c>
      <c r="D140" s="34" t="s">
        <v>1337</v>
      </c>
      <c r="E140" s="15">
        <v>2.0</v>
      </c>
      <c r="F140" s="16" t="s">
        <v>1338</v>
      </c>
      <c r="G140" s="16" t="s">
        <v>1208</v>
      </c>
      <c r="H140" s="15" t="s">
        <v>1339</v>
      </c>
      <c r="I140" s="15">
        <v>2025.0</v>
      </c>
      <c r="J140" s="21"/>
      <c r="K140" s="20" t="s">
        <v>1340</v>
      </c>
      <c r="L140" s="20" t="s">
        <v>1341</v>
      </c>
      <c r="M140" s="20" t="s">
        <v>1342</v>
      </c>
      <c r="N140" s="20" t="s">
        <v>1343</v>
      </c>
      <c r="O140" s="20" t="s">
        <v>1344</v>
      </c>
    </row>
    <row r="141" ht="75.0" customHeight="1">
      <c r="A141" s="34" t="s">
        <v>138</v>
      </c>
      <c r="B141" s="34" t="s">
        <v>1326</v>
      </c>
      <c r="C141" s="35" t="s">
        <v>1345</v>
      </c>
      <c r="D141" s="34" t="s">
        <v>1346</v>
      </c>
      <c r="E141" s="15" t="s">
        <v>42</v>
      </c>
      <c r="F141" s="16" t="s">
        <v>43</v>
      </c>
      <c r="G141" s="21"/>
      <c r="H141" s="22"/>
      <c r="I141" s="22"/>
      <c r="J141" s="16" t="s">
        <v>1347</v>
      </c>
      <c r="K141" s="20" t="s">
        <v>1348</v>
      </c>
      <c r="L141" s="20" t="s">
        <v>1349</v>
      </c>
      <c r="M141" s="20" t="s">
        <v>1350</v>
      </c>
      <c r="N141" s="20" t="s">
        <v>1351</v>
      </c>
      <c r="O141" s="20" t="s">
        <v>1352</v>
      </c>
    </row>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O$141"/>
  <conditionalFormatting sqref="E2:E141">
    <cfRule type="expression" dxfId="0" priority="1">
      <formula>AND($E2&lt;&gt;"",$E2&lt;&gt;"N/A",$F2="")</formula>
    </cfRule>
  </conditionalFormatting>
  <conditionalFormatting sqref="E2:E141">
    <cfRule type="cellIs" dxfId="1" priority="2" operator="equal">
      <formula>"N/A"</formula>
    </cfRule>
  </conditionalFormatting>
  <dataValidations>
    <dataValidation type="list" allowBlank="1" showInputMessage="1" showErrorMessage="1" prompt="Level - 1–5 theo mô tả DBI; N/A nếu không có minh chứng công khai" sqref="E2:E141">
      <formula1>"1,2,3,4,5,N/A"</formula1>
    </dataValidation>
    <dataValidation type="decimal" allowBlank="1" showInputMessage="1" showErrorMessage="1" prompt="Năm - Nhập năm dạng số, ví dụ 2025." sqref="I2:I141">
      <formula1>2015.0</formula1>
      <formula2>2030.0</formula2>
    </dataValidation>
  </dataValidations>
  <hyperlinks>
    <hyperlink r:id="rId1" ref="G2"/>
    <hyperlink r:id="rId2" ref="G4"/>
    <hyperlink r:id="rId3" ref="G8"/>
    <hyperlink r:id="rId4" ref="G10"/>
    <hyperlink r:id="rId5" ref="G15"/>
  </hyperlinks>
  <printOptions/>
  <pageMargins bottom="1.0" footer="0.0" header="0.0" left="0.75" right="0.75" top="1.0"/>
  <pageSetup paperSize="9" orientation="portrait"/>
  <drawing r:id="rId6"/>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2026-10-07T05:58:21Z</dcterms:created>
  <dc:creator>openpyxl</dc:creator>
</cp:coreProperties>
</file>

<file path=docProps/custom.xml><?xml version="1.0" encoding="utf-8"?>
<Properties xmlns="http://schemas.openxmlformats.org/officeDocument/2006/custom-properties" xmlns:vt="http://schemas.openxmlformats.org/officeDocument/2006/docPropsVTypes"/>
</file>